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9A5197B-7AD6-486F-B72B-A8EB1993B0A0}" xr6:coauthVersionLast="47" xr6:coauthVersionMax="47" xr10:uidLastSave="{00000000-0000-0000-0000-000000000000}"/>
  <bookViews>
    <workbookView xWindow="-120" yWindow="-120" windowWidth="20730" windowHeight="11160" activeTab="2" xr2:uid="{5C9384C4-839E-4A8C-9486-FA5E84E6ACAE}"/>
  </bookViews>
  <sheets>
    <sheet name="Raw Data" sheetId="1" r:id="rId1"/>
    <sheet name="Company Sheet" sheetId="2" r:id="rId2"/>
    <sheet name="Key Met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E13" i="4"/>
  <c r="E17" i="4"/>
  <c r="E11" i="4"/>
  <c r="D16" i="4"/>
  <c r="E16" i="4" s="1"/>
  <c r="D17" i="4"/>
  <c r="D18" i="4"/>
  <c r="E18" i="4" s="1"/>
  <c r="D19" i="4"/>
  <c r="E19" i="4" s="1"/>
  <c r="D20" i="4"/>
  <c r="E20" i="4" s="1"/>
  <c r="D12" i="4"/>
  <c r="E12" i="4" s="1"/>
  <c r="D13" i="4"/>
  <c r="D14" i="4"/>
  <c r="E14" i="4" s="1"/>
  <c r="D15" i="4"/>
  <c r="E15" i="4" s="1"/>
  <c r="D11" i="4"/>
  <c r="R3" i="1"/>
  <c r="R4" i="1"/>
  <c r="R5" i="1"/>
  <c r="R6" i="1"/>
  <c r="R7" i="1"/>
  <c r="R8" i="1"/>
  <c r="R9" i="1"/>
  <c r="R10" i="1"/>
  <c r="R11" i="1"/>
  <c r="R12" i="1"/>
  <c r="R13" i="1"/>
  <c r="F7" i="4"/>
  <c r="G7" i="4" s="1"/>
  <c r="F5" i="4"/>
  <c r="G5" i="4" s="1"/>
  <c r="F6" i="4"/>
  <c r="G6" i="4" s="1"/>
  <c r="B7" i="4"/>
  <c r="B6" i="4"/>
  <c r="B10" i="4" s="1"/>
  <c r="B5" i="4"/>
  <c r="B11" i="4" s="1"/>
  <c r="Q4" i="1"/>
  <c r="D19" i="2"/>
  <c r="D20" i="2"/>
  <c r="D21" i="2"/>
  <c r="D22" i="2"/>
  <c r="D23" i="2"/>
  <c r="D24" i="2"/>
  <c r="D25" i="2"/>
  <c r="D26" i="2"/>
  <c r="D27" i="2"/>
  <c r="D18" i="2"/>
  <c r="C19" i="2"/>
  <c r="C20" i="2"/>
  <c r="A20" i="2"/>
  <c r="B23" i="2"/>
  <c r="B27" i="2"/>
  <c r="B18" i="2"/>
  <c r="O9" i="2"/>
  <c r="O13" i="2"/>
  <c r="L5" i="2"/>
  <c r="L6" i="2"/>
  <c r="L9" i="2"/>
  <c r="M9" i="2"/>
  <c r="L10" i="2"/>
  <c r="L13" i="2"/>
  <c r="M13" i="2"/>
  <c r="L14" i="2"/>
  <c r="J9" i="2"/>
  <c r="J13" i="2"/>
  <c r="I14" i="2"/>
  <c r="A6" i="2"/>
  <c r="J6" i="2" s="1"/>
  <c r="A7" i="2"/>
  <c r="B7" i="2" s="1"/>
  <c r="I7" i="2" s="1"/>
  <c r="A8" i="2"/>
  <c r="B8" i="2" s="1"/>
  <c r="M8" i="2" s="1"/>
  <c r="A9" i="2"/>
  <c r="B9" i="2" s="1"/>
  <c r="I9" i="2" s="1"/>
  <c r="A10" i="2"/>
  <c r="B10" i="2" s="1"/>
  <c r="M10" i="2" s="1"/>
  <c r="A11" i="2"/>
  <c r="B11" i="2" s="1"/>
  <c r="I11" i="2" s="1"/>
  <c r="A12" i="2"/>
  <c r="B12" i="2" s="1"/>
  <c r="M12" i="2" s="1"/>
  <c r="A13" i="2"/>
  <c r="B13" i="2" s="1"/>
  <c r="I13" i="2" s="1"/>
  <c r="A14" i="2"/>
  <c r="B14" i="2" s="1"/>
  <c r="M14" i="2" s="1"/>
  <c r="A5" i="2"/>
  <c r="B5" i="2" s="1"/>
  <c r="I5" i="2" s="1"/>
  <c r="F12" i="1"/>
  <c r="H12" i="1"/>
  <c r="I12" i="1"/>
  <c r="J12" i="1"/>
  <c r="O12" i="1"/>
  <c r="E13" i="1" s="1"/>
  <c r="E12" i="1"/>
  <c r="G3" i="1"/>
  <c r="G4" i="1"/>
  <c r="G5" i="1"/>
  <c r="G6" i="1"/>
  <c r="G7" i="1"/>
  <c r="G8" i="1"/>
  <c r="G9" i="1"/>
  <c r="G10" i="1"/>
  <c r="G11" i="1"/>
  <c r="G2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L8" i="1" s="1"/>
  <c r="K9" i="1"/>
  <c r="M9" i="1" s="1"/>
  <c r="K10" i="1"/>
  <c r="M10" i="1" s="1"/>
  <c r="K11" i="1"/>
  <c r="M11" i="1" s="1"/>
  <c r="K2" i="1"/>
  <c r="F11" i="4" l="1" a="1"/>
  <c r="D8" i="2"/>
  <c r="I8" i="2"/>
  <c r="N12" i="2"/>
  <c r="L12" i="2"/>
  <c r="L8" i="2"/>
  <c r="N8" i="2"/>
  <c r="M11" i="2"/>
  <c r="M7" i="2"/>
  <c r="N5" i="2"/>
  <c r="N11" i="2"/>
  <c r="N7" i="2"/>
  <c r="H5" i="2"/>
  <c r="O12" i="2"/>
  <c r="O8" i="2"/>
  <c r="B25" i="2"/>
  <c r="B21" i="2"/>
  <c r="I12" i="2"/>
  <c r="L11" i="2"/>
  <c r="L7" i="2"/>
  <c r="N6" i="2"/>
  <c r="O5" i="2"/>
  <c r="O11" i="2"/>
  <c r="O7" i="2"/>
  <c r="A25" i="2"/>
  <c r="E25" i="2" s="1" a="1"/>
  <c r="E25" i="2" s="1"/>
  <c r="A21" i="2"/>
  <c r="A19" i="2"/>
  <c r="D12" i="2"/>
  <c r="I10" i="2"/>
  <c r="N13" i="2"/>
  <c r="M5" i="2"/>
  <c r="O14" i="2"/>
  <c r="O10" i="2"/>
  <c r="O6" i="2"/>
  <c r="B26" i="2"/>
  <c r="B24" i="2"/>
  <c r="B22" i="2"/>
  <c r="B20" i="2"/>
  <c r="E20" i="2" s="1" a="1"/>
  <c r="E20" i="2" s="1"/>
  <c r="A18" i="2"/>
  <c r="E18" i="2" s="1" a="1"/>
  <c r="E18" i="2" s="1"/>
  <c r="E11" i="2"/>
  <c r="G5" i="2"/>
  <c r="G7" i="2"/>
  <c r="D11" i="2"/>
  <c r="D7" i="2"/>
  <c r="E14" i="2"/>
  <c r="E10" i="2"/>
  <c r="E6" i="2"/>
  <c r="G14" i="2"/>
  <c r="G10" i="2"/>
  <c r="G6" i="2"/>
  <c r="H14" i="2"/>
  <c r="H12" i="2"/>
  <c r="H10" i="2"/>
  <c r="H8" i="2"/>
  <c r="H6" i="2"/>
  <c r="J12" i="2"/>
  <c r="J8" i="2"/>
  <c r="D14" i="2"/>
  <c r="D10" i="2"/>
  <c r="D6" i="2"/>
  <c r="E13" i="2"/>
  <c r="E9" i="2"/>
  <c r="B6" i="2"/>
  <c r="G13" i="2"/>
  <c r="G9" i="2"/>
  <c r="J5" i="2"/>
  <c r="J11" i="2"/>
  <c r="J7" i="2"/>
  <c r="E5" i="2"/>
  <c r="E7" i="2"/>
  <c r="G11" i="2"/>
  <c r="D13" i="2"/>
  <c r="D9" i="2"/>
  <c r="D5" i="2"/>
  <c r="E12" i="2"/>
  <c r="E8" i="2"/>
  <c r="G12" i="2"/>
  <c r="G8" i="2"/>
  <c r="H13" i="2"/>
  <c r="H11" i="2"/>
  <c r="H9" i="2"/>
  <c r="H7" i="2"/>
  <c r="J14" i="2"/>
  <c r="J10" i="2"/>
  <c r="G12" i="1"/>
  <c r="K12" i="1"/>
  <c r="N8" i="1"/>
  <c r="N4" i="1"/>
  <c r="L4" i="1"/>
  <c r="N11" i="1"/>
  <c r="Q11" i="1" s="1"/>
  <c r="C27" i="2" s="1"/>
  <c r="L11" i="1"/>
  <c r="N14" i="2" s="1"/>
  <c r="N7" i="1"/>
  <c r="Q7" i="1" s="1"/>
  <c r="C23" i="2" s="1"/>
  <c r="L7" i="1"/>
  <c r="N10" i="2" s="1"/>
  <c r="N3" i="1"/>
  <c r="Q3" i="1" s="1"/>
  <c r="L3" i="1"/>
  <c r="L10" i="1"/>
  <c r="N10" i="1"/>
  <c r="L6" i="1"/>
  <c r="N9" i="2" s="1"/>
  <c r="N6" i="1"/>
  <c r="L9" i="1"/>
  <c r="N9" i="1"/>
  <c r="Q9" i="1" s="1"/>
  <c r="C25" i="2" s="1"/>
  <c r="L5" i="1"/>
  <c r="N5" i="1"/>
  <c r="Q5" i="1" s="1"/>
  <c r="C21" i="2" s="1"/>
  <c r="M2" i="1"/>
  <c r="L2" i="1" s="1"/>
  <c r="F11" i="4" l="1"/>
  <c r="H10" i="4" a="1"/>
  <c r="H10" i="4" s="1"/>
  <c r="E21" i="2" a="1"/>
  <c r="E21" i="2" s="1"/>
  <c r="Q6" i="1"/>
  <c r="C22" i="2" s="1"/>
  <c r="A22" i="2"/>
  <c r="E22" i="2" s="1" a="1"/>
  <c r="E22" i="2" s="1"/>
  <c r="A27" i="2"/>
  <c r="E27" i="2" s="1" a="1"/>
  <c r="E27" i="2" s="1"/>
  <c r="Q10" i="1"/>
  <c r="C26" i="2" s="1"/>
  <c r="A26" i="2"/>
  <c r="E26" i="2" s="1" a="1"/>
  <c r="E26" i="2" s="1"/>
  <c r="Q8" i="1"/>
  <c r="C24" i="2" s="1"/>
  <c r="A24" i="2"/>
  <c r="E24" i="2" s="1" a="1"/>
  <c r="E24" i="2" s="1"/>
  <c r="A23" i="2"/>
  <c r="E23" i="2" s="1" a="1"/>
  <c r="E23" i="2" s="1"/>
  <c r="I6" i="2"/>
  <c r="M6" i="2"/>
  <c r="B19" i="2"/>
  <c r="E19" i="2" s="1" a="1"/>
  <c r="E19" i="2" s="1"/>
  <c r="L12" i="1"/>
  <c r="N2" i="1"/>
  <c r="M12" i="1"/>
  <c r="Q2" i="1" l="1"/>
  <c r="N12" i="1"/>
  <c r="C13" i="1" s="1"/>
  <c r="I13" i="1" s="1"/>
  <c r="Q12" i="1" l="1"/>
  <c r="C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<sst xmlns="http://schemas.openxmlformats.org/spreadsheetml/2006/main" count="94" uniqueCount="84">
  <si>
    <t>S.no</t>
  </si>
  <si>
    <t>Name</t>
  </si>
  <si>
    <t>Bank Account number</t>
  </si>
  <si>
    <t>Pre salary</t>
  </si>
  <si>
    <t>Basic salary</t>
  </si>
  <si>
    <t xml:space="preserve">Total salary
</t>
  </si>
  <si>
    <t>Etra
 peroid</t>
  </si>
  <si>
    <t>Adv 
salary</t>
  </si>
  <si>
    <t>No of 
days</t>
  </si>
  <si>
    <t>Deduction</t>
  </si>
  <si>
    <t>Currnet Salary</t>
  </si>
  <si>
    <t>Pay able
salary</t>
  </si>
  <si>
    <t>Paid
salay</t>
  </si>
  <si>
    <t>Date</t>
  </si>
  <si>
    <t>Pending 
Salary</t>
  </si>
  <si>
    <t>Rida</t>
  </si>
  <si>
    <t>Nisan</t>
  </si>
  <si>
    <t>Saqib</t>
  </si>
  <si>
    <t>Kashif</t>
  </si>
  <si>
    <t>Asif</t>
  </si>
  <si>
    <t>Rifaq</t>
  </si>
  <si>
    <t>Faisal</t>
  </si>
  <si>
    <t>kamran</t>
  </si>
  <si>
    <t>somira</t>
  </si>
  <si>
    <t>Amana</t>
  </si>
  <si>
    <t>English</t>
  </si>
  <si>
    <t>urdu</t>
  </si>
  <si>
    <t>Maths</t>
  </si>
  <si>
    <t>Computer</t>
  </si>
  <si>
    <t>Commerce</t>
  </si>
  <si>
    <t>Islamyat</t>
  </si>
  <si>
    <t>Lab attendance</t>
  </si>
  <si>
    <t>Accountant</t>
  </si>
  <si>
    <t>Office worker</t>
  </si>
  <si>
    <t>One day salary</t>
  </si>
  <si>
    <t>23-3-2026</t>
  </si>
  <si>
    <t>TOTAL SALARY</t>
  </si>
  <si>
    <t>PAYABLE SALARY</t>
  </si>
  <si>
    <t>PAID SALARY</t>
  </si>
  <si>
    <t>PENDING SALARY</t>
  </si>
  <si>
    <t>Month: September 2026</t>
  </si>
  <si>
    <t>Department
 Pay Roll</t>
  </si>
  <si>
    <t>S.NO</t>
  </si>
  <si>
    <t>Employee Name</t>
  </si>
  <si>
    <t>Designation</t>
  </si>
  <si>
    <t>Bank Account</t>
  </si>
  <si>
    <t>SALARY COMPONENTS</t>
  </si>
  <si>
    <t>EMPLOYEE INFORMATION</t>
  </si>
  <si>
    <t xml:space="preserve">Basic Salary </t>
  </si>
  <si>
    <t>Advance Salary</t>
  </si>
  <si>
    <t>Extra Period</t>
  </si>
  <si>
    <t>Total Salary</t>
  </si>
  <si>
    <t>DEDUCTION AND CALCULATION</t>
  </si>
  <si>
    <t xml:space="preserve">One Day Salary </t>
  </si>
  <si>
    <t xml:space="preserve">No. of Days
 Worked </t>
  </si>
  <si>
    <t xml:space="preserve">Deductions </t>
  </si>
  <si>
    <t>Current
 Salary</t>
  </si>
  <si>
    <t>PAYMENT SUMMARY</t>
  </si>
  <si>
    <t xml:space="preserve">Payable Salary </t>
  </si>
  <si>
    <t xml:space="preserve">Paid Salary </t>
  </si>
  <si>
    <t xml:space="preserve">Payment Date </t>
  </si>
  <si>
    <t>Status</t>
  </si>
  <si>
    <t>13-3-2026</t>
  </si>
  <si>
    <t>Company Name : 
MS Transport</t>
  </si>
  <si>
    <t>Pending Salary</t>
  </si>
  <si>
    <t>MS TRANSPORT</t>
  </si>
  <si>
    <t>SALARY SUMMARY - SEPTEMBER 2026</t>
  </si>
  <si>
    <t>Key Metrics</t>
  </si>
  <si>
    <t>Total Payable Salary:</t>
  </si>
  <si>
    <t>Total Pending Salary:</t>
  </si>
  <si>
    <t>Total Paid Salary:</t>
  </si>
  <si>
    <t>Paid</t>
  </si>
  <si>
    <t>Unpaid</t>
  </si>
  <si>
    <t>Payment Status Breakdown</t>
  </si>
  <si>
    <r>
      <rPr>
        <b/>
        <sz val="14"/>
        <color theme="1"/>
        <rFont val="Calibri"/>
        <family val="2"/>
        <scheme val="minor"/>
      </rPr>
      <t>Payment Percentag</t>
    </r>
    <r>
      <rPr>
        <b/>
        <sz val="14"/>
        <color theme="1"/>
        <rFont val="Calibri Light"/>
        <family val="2"/>
        <scheme val="major"/>
      </rPr>
      <t>e</t>
    </r>
  </si>
  <si>
    <t>Fully Paid</t>
  </si>
  <si>
    <t>Partially Paid</t>
  </si>
  <si>
    <t>Un Paid</t>
  </si>
  <si>
    <t>Top Pending Cases</t>
  </si>
  <si>
    <t>Emp.Name</t>
  </si>
  <si>
    <t>Pending Amount</t>
  </si>
  <si>
    <t>% Unpaid</t>
  </si>
  <si>
    <t>% un paid</t>
  </si>
  <si>
    <t>Critical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</si>
</sst>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/>
    <xf numFmtId="0" fontId="9" fillId="9" borderId="11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11" fillId="0" borderId="0" xfId="0" applyFont="1"/>
    <xf numFmtId="0" fontId="10" fillId="10" borderId="16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/>
    </xf>
    <xf numFmtId="0" fontId="12" fillId="10" borderId="16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168" fontId="10" fillId="10" borderId="16" xfId="0" applyNumberFormat="1" applyFont="1" applyFill="1" applyBorder="1" applyAlignment="1">
      <alignment horizontal="center" vertical="center"/>
    </xf>
    <xf numFmtId="168" fontId="0" fillId="10" borderId="16" xfId="0" applyNumberFormat="1" applyFill="1" applyBorder="1" applyAlignment="1">
      <alignment horizontal="center" vertical="center"/>
    </xf>
    <xf numFmtId="168" fontId="7" fillId="8" borderId="6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8" fontId="0" fillId="7" borderId="5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7" fillId="8" borderId="6" xfId="0" applyNumberFormat="1" applyFont="1" applyFill="1" applyBorder="1" applyAlignment="1">
      <alignment horizontal="center" vertical="center"/>
    </xf>
    <xf numFmtId="168" fontId="7" fillId="8" borderId="7" xfId="0" applyNumberFormat="1" applyFont="1" applyFill="1" applyBorder="1" applyAlignment="1">
      <alignment horizontal="center" vertical="center" wrapText="1"/>
    </xf>
    <xf numFmtId="168" fontId="7" fillId="8" borderId="0" xfId="0" applyNumberFormat="1" applyFont="1" applyFill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2" fillId="0" borderId="10" xfId="0" applyNumberFormat="1" applyFon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2" fillId="6" borderId="8" xfId="0" applyNumberFormat="1" applyFont="1" applyFill="1" applyBorder="1" applyAlignment="1">
      <alignment horizontal="center" vertical="center"/>
    </xf>
    <xf numFmtId="168" fontId="2" fillId="6" borderId="9" xfId="0" applyNumberFormat="1" applyFont="1" applyFill="1" applyBorder="1" applyAlignment="1">
      <alignment horizontal="center" vertical="center"/>
    </xf>
    <xf numFmtId="168" fontId="4" fillId="6" borderId="4" xfId="0" applyNumberFormat="1" applyFont="1" applyFill="1" applyBorder="1" applyAlignment="1">
      <alignment horizontal="center" vertical="center"/>
    </xf>
    <xf numFmtId="168" fontId="2" fillId="2" borderId="4" xfId="0" applyNumberFormat="1" applyFont="1" applyFill="1" applyBorder="1" applyAlignment="1">
      <alignment horizontal="center" vertical="center"/>
    </xf>
    <xf numFmtId="168" fontId="5" fillId="2" borderId="8" xfId="0" applyNumberFormat="1" applyFont="1" applyFill="1" applyBorder="1" applyAlignment="1">
      <alignment horizontal="center" vertical="center"/>
    </xf>
    <xf numFmtId="168" fontId="5" fillId="2" borderId="9" xfId="0" applyNumberFormat="1" applyFont="1" applyFill="1" applyBorder="1" applyAlignment="1">
      <alignment horizontal="center" vertical="center"/>
    </xf>
    <xf numFmtId="168" fontId="2" fillId="4" borderId="8" xfId="0" applyNumberFormat="1" applyFont="1" applyFill="1" applyBorder="1" applyAlignment="1">
      <alignment horizontal="center" vertical="center"/>
    </xf>
    <xf numFmtId="168" fontId="2" fillId="4" borderId="9" xfId="0" applyNumberFormat="1" applyFont="1" applyFill="1" applyBorder="1" applyAlignment="1">
      <alignment horizontal="center" vertical="center"/>
    </xf>
    <xf numFmtId="168" fontId="6" fillId="3" borderId="8" xfId="0" applyNumberFormat="1" applyFont="1" applyFill="1" applyBorder="1" applyAlignment="1">
      <alignment horizontal="center" vertical="center"/>
    </xf>
    <xf numFmtId="168" fontId="6" fillId="3" borderId="5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168" fontId="0" fillId="10" borderId="16" xfId="0" applyNumberFormat="1" applyFill="1" applyBorder="1" applyAlignment="1">
      <alignment horizontal="center" vertical="top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left"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vertical="top" wrapText="1"/>
    </xf>
    <xf numFmtId="0" fontId="13" fillId="12" borderId="1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9" fontId="0" fillId="0" borderId="0" xfId="1" applyFont="1"/>
    <xf numFmtId="0" fontId="10" fillId="13" borderId="16" xfId="0" applyFont="1" applyFill="1" applyBorder="1" applyAlignment="1">
      <alignment horizontal="center"/>
    </xf>
    <xf numFmtId="168" fontId="10" fillId="13" borderId="16" xfId="0" applyNumberFormat="1" applyFont="1" applyFill="1" applyBorder="1" applyAlignment="1">
      <alignment horizontal="center"/>
    </xf>
    <xf numFmtId="168" fontId="12" fillId="13" borderId="16" xfId="0" applyNumberFormat="1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0" fontId="10" fillId="13" borderId="16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9" fontId="10" fillId="13" borderId="16" xfId="1" applyFont="1" applyFill="1" applyBorder="1" applyAlignment="1">
      <alignment horizontal="center" vertical="center"/>
    </xf>
    <xf numFmtId="9" fontId="10" fillId="13" borderId="16" xfId="1" applyFont="1" applyFill="1" applyBorder="1"/>
    <xf numFmtId="9" fontId="0" fillId="0" borderId="2" xfId="1" applyFont="1" applyBorder="1" applyAlignment="1">
      <alignment horizontal="center" vertical="center"/>
    </xf>
    <xf numFmtId="168" fontId="10" fillId="13" borderId="16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13" borderId="16" xfId="0" applyFont="1" applyFill="1" applyBorder="1"/>
  </cellXfs>
  <cellStyles count="2">
    <cellStyle name="Normal" xfId="0" builtinId="0"/>
    <cellStyle name="Percent" xfId="1" builtinId="5"/>
  </cellStyles>
  <dxfs count="27"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theme="9"/>
      </font>
    </dxf>
    <dxf>
      <font>
        <color theme="9"/>
      </font>
    </dxf>
    <dxf>
      <numFmt numFmtId="13" formatCode="0%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0;[Red]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numFmt numFmtId="168" formatCode="0;[Red]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2DFFD-D609-4485-ACC5-E988181D71F9}" name="Table2" displayName="Table2" ref="A1:R13" totalsRowShown="0" headerRowDxfId="7" dataDxfId="6" headerRowBorderDxfId="25" tableBorderDxfId="26">
  <autoFilter ref="A1:R13" xr:uid="{5FC2DFFD-D609-4485-ACC5-E988181D71F9}"/>
  <tableColumns count="18">
    <tableColumn id="1" xr3:uid="{C4016F75-1442-4155-9A6B-368269CED56E}" name="S.no" dataDxfId="24"/>
    <tableColumn id="2" xr3:uid="{A778AD15-1441-44A8-B4D9-CE8609F7F77D}" name="Name" dataDxfId="23"/>
    <tableColumn id="3" xr3:uid="{2C9BEE47-D976-40B4-A27E-8182BA5E16F9}" name="Designation" dataDxfId="22"/>
    <tableColumn id="4" xr3:uid="{F916EEB4-FE3F-45B8-86B7-7FD81AEA1745}" name="Bank Account number" dataDxfId="21"/>
    <tableColumn id="5" xr3:uid="{EA084648-C7F1-4BC3-9555-7C3D70D76EA1}" name="Pre salary" dataDxfId="20"/>
    <tableColumn id="6" xr3:uid="{FFEE7B62-CD3D-4393-86E0-98A8440A1A5F}" name="Basic salary" dataDxfId="19"/>
    <tableColumn id="7" xr3:uid="{A5C5E289-A33E-4800-BC4B-3B65F08BE177}" name="Total salary_x000a_" dataDxfId="18"/>
    <tableColumn id="8" xr3:uid="{3FC42A76-1A76-439D-9299-F928B92086EA}" name="Adv _x000a_salary" dataDxfId="17"/>
    <tableColumn id="9" xr3:uid="{BC3E3ED7-C572-4212-9E47-C74ADAC7D487}" name="Etra_x000a_ peroid" dataDxfId="16"/>
    <tableColumn id="10" xr3:uid="{DC4A69D2-C072-4D03-AA3A-00A15C8C3BD4}" name="No of _x000a_days" dataDxfId="15"/>
    <tableColumn id="11" xr3:uid="{12E91E79-ECF1-444A-960F-AC1857380480}" name="One day salary" dataDxfId="14"/>
    <tableColumn id="12" xr3:uid="{7965AC6E-6D8E-41AF-A030-1FA90AEE8B4F}" name="Deduction" dataDxfId="13"/>
    <tableColumn id="13" xr3:uid="{82C8704C-4293-405D-AC4B-D2B2A8D06123}" name="Currnet Salary" dataDxfId="12"/>
    <tableColumn id="14" xr3:uid="{37597B6F-1135-4EC2-85DE-F360930CFF28}" name="Pay able_x000a_salary" dataDxfId="11"/>
    <tableColumn id="15" xr3:uid="{534461E8-8BFB-41C7-AFF7-A9CE41C0B8EE}" name="Paid_x000a_salay" dataDxfId="10"/>
    <tableColumn id="16" xr3:uid="{947B7662-2846-4458-B70C-49460D527418}" name="Date" dataDxfId="9"/>
    <tableColumn id="17" xr3:uid="{02F44CE2-D7DA-4D27-80FF-98BFB9A9DC13}" name="Pending _x000a_Salary" dataDxfId="8"/>
    <tableColumn id="18" xr3:uid="{7B49A1F1-300F-4AC0-8C32-6E3ADD3DF7DF}" name="% un paid" dataDxfId="5">
      <calculatedColumnFormula>Table2[[#This Row],[Pending 
Salary]]/Table2[[#This Row],[Pay able
salary]]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1FCF-0A99-41B0-A4D4-0FC68C9F6F6D}">
  <sheetPr>
    <tabColor rgb="FF002060"/>
  </sheetPr>
  <dimension ref="A1:R26"/>
  <sheetViews>
    <sheetView topLeftCell="E1" zoomScale="98" zoomScaleNormal="98" workbookViewId="0">
      <selection activeCell="R3" sqref="R3"/>
    </sheetView>
  </sheetViews>
  <sheetFormatPr defaultRowHeight="15" x14ac:dyDescent="0.25"/>
  <cols>
    <col min="1" max="1" width="16.140625" style="27" bestFit="1" customWidth="1"/>
    <col min="2" max="2" width="9.140625" style="27"/>
    <col min="3" max="3" width="14.5703125" style="27" bestFit="1" customWidth="1"/>
    <col min="4" max="4" width="22.42578125" style="27" customWidth="1"/>
    <col min="5" max="5" width="11.5703125" style="27" customWidth="1"/>
    <col min="6" max="6" width="13.140625" style="27" customWidth="1"/>
    <col min="7" max="7" width="16.5703125" style="27" bestFit="1" customWidth="1"/>
    <col min="8" max="8" width="9.140625" style="27"/>
    <col min="9" max="9" width="10.7109375" style="27" bestFit="1" customWidth="1"/>
    <col min="10" max="10" width="9.140625" style="27"/>
    <col min="11" max="11" width="15.85546875" style="27" customWidth="1"/>
    <col min="12" max="12" width="12.28515625" style="27" customWidth="1"/>
    <col min="13" max="13" width="15.42578125" style="27" customWidth="1"/>
    <col min="14" max="15" width="9.140625" style="27"/>
    <col min="16" max="16" width="9.42578125" style="27" bestFit="1" customWidth="1"/>
    <col min="17" max="17" width="9.140625" style="27"/>
    <col min="18" max="18" width="22.5703125" style="27" customWidth="1"/>
    <col min="19" max="16384" width="9.140625" style="27"/>
  </cols>
  <sheetData>
    <row r="1" spans="1:18" s="30" customFormat="1" ht="76.5" customHeight="1" x14ac:dyDescent="0.25">
      <c r="A1" s="28" t="s">
        <v>0</v>
      </c>
      <c r="B1" s="28" t="s">
        <v>1</v>
      </c>
      <c r="C1" s="28" t="s">
        <v>44</v>
      </c>
      <c r="D1" s="28" t="s">
        <v>2</v>
      </c>
      <c r="E1" s="28" t="s">
        <v>3</v>
      </c>
      <c r="F1" s="28" t="s">
        <v>4</v>
      </c>
      <c r="G1" s="24" t="s">
        <v>5</v>
      </c>
      <c r="H1" s="24" t="s">
        <v>7</v>
      </c>
      <c r="I1" s="24" t="s">
        <v>6</v>
      </c>
      <c r="J1" s="24" t="s">
        <v>8</v>
      </c>
      <c r="K1" s="24" t="s">
        <v>34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</v>
      </c>
      <c r="Q1" s="24" t="s">
        <v>14</v>
      </c>
      <c r="R1" s="29" t="s">
        <v>82</v>
      </c>
    </row>
    <row r="2" spans="1:18" x14ac:dyDescent="0.25">
      <c r="A2" s="25">
        <v>1</v>
      </c>
      <c r="B2" s="25" t="s">
        <v>15</v>
      </c>
      <c r="C2" s="25" t="s">
        <v>25</v>
      </c>
      <c r="D2" s="25">
        <v>24353535</v>
      </c>
      <c r="E2" s="25">
        <v>4000</v>
      </c>
      <c r="F2" s="25">
        <v>13000</v>
      </c>
      <c r="G2" s="25">
        <f>E2+F2</f>
        <v>17000</v>
      </c>
      <c r="H2" s="25">
        <v>1600</v>
      </c>
      <c r="I2" s="25">
        <v>5000</v>
      </c>
      <c r="J2" s="25">
        <v>27</v>
      </c>
      <c r="K2" s="25">
        <f>F2/30</f>
        <v>433.33333333333331</v>
      </c>
      <c r="L2" s="25">
        <f>F2-M2</f>
        <v>2900</v>
      </c>
      <c r="M2" s="25">
        <f>J2*K2-H2</f>
        <v>10100</v>
      </c>
      <c r="N2" s="25">
        <f>M2+E2+I2</f>
        <v>19100</v>
      </c>
      <c r="O2" s="25">
        <v>0</v>
      </c>
      <c r="P2" s="25" t="s">
        <v>62</v>
      </c>
      <c r="Q2" s="25">
        <f>N2-O2</f>
        <v>19100</v>
      </c>
      <c r="R2" s="65">
        <f>Table2[[#This Row],[Pending 
Salary]]/Table2[[#This Row],[Pay able
salary]]</f>
        <v>1</v>
      </c>
    </row>
    <row r="3" spans="1:18" x14ac:dyDescent="0.25">
      <c r="A3" s="25">
        <v>2</v>
      </c>
      <c r="B3" s="25" t="s">
        <v>16</v>
      </c>
      <c r="C3" s="25" t="s">
        <v>26</v>
      </c>
      <c r="D3" s="25">
        <v>24353536</v>
      </c>
      <c r="E3" s="25">
        <v>0</v>
      </c>
      <c r="F3" s="25">
        <v>13000</v>
      </c>
      <c r="G3" s="25">
        <f t="shared" ref="G3:G11" si="0">E3+F3</f>
        <v>13000</v>
      </c>
      <c r="H3" s="25"/>
      <c r="I3" s="25">
        <v>0</v>
      </c>
      <c r="J3" s="25">
        <v>30</v>
      </c>
      <c r="K3" s="25">
        <f t="shared" ref="K3:K11" si="1">F3/30</f>
        <v>433.33333333333331</v>
      </c>
      <c r="L3" s="25">
        <f t="shared" ref="L3:L11" si="2">F3-M3</f>
        <v>0</v>
      </c>
      <c r="M3" s="25">
        <f t="shared" ref="M3:M11" si="3">J3*K3-H3</f>
        <v>13000</v>
      </c>
      <c r="N3" s="25">
        <f t="shared" ref="N3:N11" si="4">M3+E3+I3</f>
        <v>13000</v>
      </c>
      <c r="O3" s="25">
        <v>13000</v>
      </c>
      <c r="P3" s="25" t="s">
        <v>35</v>
      </c>
      <c r="Q3" s="25">
        <f t="shared" ref="Q3:Q11" si="5">N3-O3</f>
        <v>0</v>
      </c>
      <c r="R3" s="65">
        <f>Table2[[#This Row],[Pending 
Salary]]/Table2[[#This Row],[Pay able
salary]]</f>
        <v>0</v>
      </c>
    </row>
    <row r="4" spans="1:18" x14ac:dyDescent="0.25">
      <c r="A4" s="25">
        <v>3</v>
      </c>
      <c r="B4" s="25" t="s">
        <v>17</v>
      </c>
      <c r="C4" s="25" t="s">
        <v>27</v>
      </c>
      <c r="D4" s="25">
        <v>24353537</v>
      </c>
      <c r="E4" s="25">
        <v>700</v>
      </c>
      <c r="F4" s="25">
        <v>27000</v>
      </c>
      <c r="G4" s="25">
        <f t="shared" si="0"/>
        <v>27700</v>
      </c>
      <c r="H4" s="25"/>
      <c r="I4" s="25">
        <v>0</v>
      </c>
      <c r="J4" s="25">
        <v>30</v>
      </c>
      <c r="K4" s="25">
        <f t="shared" si="1"/>
        <v>900</v>
      </c>
      <c r="L4" s="25">
        <f t="shared" si="2"/>
        <v>0</v>
      </c>
      <c r="M4" s="25">
        <f t="shared" si="3"/>
        <v>27000</v>
      </c>
      <c r="N4" s="25">
        <f t="shared" si="4"/>
        <v>27700</v>
      </c>
      <c r="O4" s="25">
        <v>20000</v>
      </c>
      <c r="P4" s="25" t="s">
        <v>35</v>
      </c>
      <c r="Q4" s="25">
        <f>N4-O4</f>
        <v>7700</v>
      </c>
      <c r="R4" s="65">
        <f>Table2[[#This Row],[Pending 
Salary]]/Table2[[#This Row],[Pay able
salary]]</f>
        <v>0.27797833935018051</v>
      </c>
    </row>
    <row r="5" spans="1:18" x14ac:dyDescent="0.25">
      <c r="A5" s="25">
        <v>4</v>
      </c>
      <c r="B5" s="25" t="s">
        <v>18</v>
      </c>
      <c r="C5" s="25" t="s">
        <v>28</v>
      </c>
      <c r="D5" s="25">
        <v>24353538</v>
      </c>
      <c r="E5" s="25">
        <v>0</v>
      </c>
      <c r="F5" s="25">
        <v>3643</v>
      </c>
      <c r="G5" s="25">
        <f t="shared" si="0"/>
        <v>3643</v>
      </c>
      <c r="H5" s="25"/>
      <c r="I5" s="25">
        <v>0</v>
      </c>
      <c r="J5" s="25">
        <v>15</v>
      </c>
      <c r="K5" s="25">
        <f t="shared" si="1"/>
        <v>121.43333333333334</v>
      </c>
      <c r="L5" s="25">
        <f t="shared" si="2"/>
        <v>1821.5</v>
      </c>
      <c r="M5" s="25">
        <f t="shared" si="3"/>
        <v>1821.5</v>
      </c>
      <c r="N5" s="25">
        <f t="shared" si="4"/>
        <v>1821.5</v>
      </c>
      <c r="O5" s="25">
        <v>1800</v>
      </c>
      <c r="P5" s="25" t="s">
        <v>35</v>
      </c>
      <c r="Q5" s="25">
        <f t="shared" si="5"/>
        <v>21.5</v>
      </c>
      <c r="R5" s="65">
        <f>Table2[[#This Row],[Pending 
Salary]]/Table2[[#This Row],[Pay able
salary]]</f>
        <v>1.1803458687894593E-2</v>
      </c>
    </row>
    <row r="6" spans="1:18" x14ac:dyDescent="0.25">
      <c r="A6" s="25">
        <v>5</v>
      </c>
      <c r="B6" s="25" t="s">
        <v>19</v>
      </c>
      <c r="C6" s="25" t="s">
        <v>29</v>
      </c>
      <c r="D6" s="25">
        <v>24353539</v>
      </c>
      <c r="E6" s="25">
        <v>0</v>
      </c>
      <c r="F6" s="25">
        <v>5555</v>
      </c>
      <c r="G6" s="25">
        <f t="shared" si="0"/>
        <v>5555</v>
      </c>
      <c r="H6" s="25"/>
      <c r="I6" s="25">
        <v>0</v>
      </c>
      <c r="J6" s="25">
        <v>24</v>
      </c>
      <c r="K6" s="25">
        <f t="shared" si="1"/>
        <v>185.16666666666666</v>
      </c>
      <c r="L6" s="25">
        <f t="shared" si="2"/>
        <v>1111</v>
      </c>
      <c r="M6" s="25">
        <f t="shared" si="3"/>
        <v>4444</v>
      </c>
      <c r="N6" s="25">
        <f t="shared" si="4"/>
        <v>4444</v>
      </c>
      <c r="O6" s="25">
        <v>4444</v>
      </c>
      <c r="P6" s="25" t="s">
        <v>35</v>
      </c>
      <c r="Q6" s="25">
        <f t="shared" si="5"/>
        <v>0</v>
      </c>
      <c r="R6" s="65">
        <f>Table2[[#This Row],[Pending 
Salary]]/Table2[[#This Row],[Pay able
salary]]</f>
        <v>0</v>
      </c>
    </row>
    <row r="7" spans="1:18" x14ac:dyDescent="0.25">
      <c r="A7" s="25">
        <v>6</v>
      </c>
      <c r="B7" s="25" t="s">
        <v>20</v>
      </c>
      <c r="C7" s="25" t="s">
        <v>30</v>
      </c>
      <c r="D7" s="25">
        <v>24353540</v>
      </c>
      <c r="E7" s="25">
        <v>0</v>
      </c>
      <c r="F7" s="25">
        <v>7000</v>
      </c>
      <c r="G7" s="25">
        <f t="shared" si="0"/>
        <v>7000</v>
      </c>
      <c r="H7" s="25"/>
      <c r="I7" s="25">
        <v>1000</v>
      </c>
      <c r="J7" s="25">
        <v>25</v>
      </c>
      <c r="K7" s="25">
        <f t="shared" si="1"/>
        <v>233.33333333333334</v>
      </c>
      <c r="L7" s="25">
        <f t="shared" si="2"/>
        <v>1166.6666666666661</v>
      </c>
      <c r="M7" s="25">
        <f t="shared" si="3"/>
        <v>5833.3333333333339</v>
      </c>
      <c r="N7" s="25">
        <f t="shared" si="4"/>
        <v>6833.3333333333339</v>
      </c>
      <c r="O7" s="25">
        <v>6833</v>
      </c>
      <c r="P7" s="25" t="s">
        <v>35</v>
      </c>
      <c r="Q7" s="25">
        <f t="shared" si="5"/>
        <v>0.33333333333393966</v>
      </c>
      <c r="R7" s="65">
        <f>Table2[[#This Row],[Pending 
Salary]]/Table2[[#This Row],[Pay able
salary]]</f>
        <v>4.8780487804966773E-5</v>
      </c>
    </row>
    <row r="8" spans="1:18" x14ac:dyDescent="0.25">
      <c r="A8" s="25">
        <v>7</v>
      </c>
      <c r="B8" s="25" t="s">
        <v>21</v>
      </c>
      <c r="C8" s="25" t="s">
        <v>27</v>
      </c>
      <c r="D8" s="25">
        <v>24353541</v>
      </c>
      <c r="E8" s="25">
        <v>6000</v>
      </c>
      <c r="F8" s="25">
        <v>7001</v>
      </c>
      <c r="G8" s="25">
        <f t="shared" si="0"/>
        <v>13001</v>
      </c>
      <c r="H8" s="25"/>
      <c r="I8" s="25">
        <v>0</v>
      </c>
      <c r="J8" s="25">
        <v>30</v>
      </c>
      <c r="K8" s="25">
        <f t="shared" si="1"/>
        <v>233.36666666666667</v>
      </c>
      <c r="L8" s="25">
        <f>F8-M8</f>
        <v>0</v>
      </c>
      <c r="M8" s="25">
        <f t="shared" si="3"/>
        <v>7001</v>
      </c>
      <c r="N8" s="25">
        <f t="shared" si="4"/>
        <v>13001</v>
      </c>
      <c r="O8" s="25">
        <v>13001</v>
      </c>
      <c r="P8" s="25" t="s">
        <v>35</v>
      </c>
      <c r="Q8" s="25">
        <f t="shared" si="5"/>
        <v>0</v>
      </c>
      <c r="R8" s="65">
        <f>Table2[[#This Row],[Pending 
Salary]]/Table2[[#This Row],[Pay able
salary]]</f>
        <v>0</v>
      </c>
    </row>
    <row r="9" spans="1:18" x14ac:dyDescent="0.25">
      <c r="A9" s="25">
        <v>8</v>
      </c>
      <c r="B9" s="25" t="s">
        <v>22</v>
      </c>
      <c r="C9" s="25" t="s">
        <v>31</v>
      </c>
      <c r="D9" s="25">
        <v>24353542</v>
      </c>
      <c r="E9" s="25">
        <v>7000</v>
      </c>
      <c r="F9" s="25">
        <v>7002</v>
      </c>
      <c r="G9" s="25">
        <f t="shared" si="0"/>
        <v>14002</v>
      </c>
      <c r="H9" s="25"/>
      <c r="I9" s="25">
        <v>0</v>
      </c>
      <c r="J9" s="25">
        <v>27</v>
      </c>
      <c r="K9" s="25">
        <f t="shared" si="1"/>
        <v>233.4</v>
      </c>
      <c r="L9" s="25">
        <f t="shared" si="2"/>
        <v>700.19999999999982</v>
      </c>
      <c r="M9" s="25">
        <f t="shared" si="3"/>
        <v>6301.8</v>
      </c>
      <c r="N9" s="25">
        <f t="shared" si="4"/>
        <v>13301.8</v>
      </c>
      <c r="O9" s="25">
        <v>6000</v>
      </c>
      <c r="P9" s="25" t="s">
        <v>35</v>
      </c>
      <c r="Q9" s="25">
        <f t="shared" si="5"/>
        <v>7301.7999999999993</v>
      </c>
      <c r="R9" s="65">
        <f>Table2[[#This Row],[Pending 
Salary]]/Table2[[#This Row],[Pay able
salary]]</f>
        <v>0.54893322708204906</v>
      </c>
    </row>
    <row r="10" spans="1:18" x14ac:dyDescent="0.25">
      <c r="A10" s="25">
        <v>9</v>
      </c>
      <c r="B10" s="25" t="s">
        <v>23</v>
      </c>
      <c r="C10" s="25" t="s">
        <v>32</v>
      </c>
      <c r="D10" s="25">
        <v>24353543</v>
      </c>
      <c r="E10" s="25">
        <v>0</v>
      </c>
      <c r="F10" s="25">
        <v>7003</v>
      </c>
      <c r="G10" s="25">
        <f t="shared" si="0"/>
        <v>7003</v>
      </c>
      <c r="H10" s="25"/>
      <c r="I10" s="25">
        <v>0</v>
      </c>
      <c r="J10" s="25">
        <v>28</v>
      </c>
      <c r="K10" s="25">
        <f t="shared" si="1"/>
        <v>233.43333333333334</v>
      </c>
      <c r="L10" s="25">
        <f t="shared" si="2"/>
        <v>466.86666666666679</v>
      </c>
      <c r="M10" s="25">
        <f t="shared" si="3"/>
        <v>6536.1333333333332</v>
      </c>
      <c r="N10" s="25">
        <f t="shared" si="4"/>
        <v>6536.1333333333332</v>
      </c>
      <c r="O10" s="25">
        <v>0</v>
      </c>
      <c r="P10" s="25" t="s">
        <v>35</v>
      </c>
      <c r="Q10" s="25">
        <f t="shared" si="5"/>
        <v>6536.1333333333332</v>
      </c>
      <c r="R10" s="65">
        <f>Table2[[#This Row],[Pending 
Salary]]/Table2[[#This Row],[Pay able
salary]]</f>
        <v>1</v>
      </c>
    </row>
    <row r="11" spans="1:18" x14ac:dyDescent="0.25">
      <c r="A11" s="31">
        <v>10</v>
      </c>
      <c r="B11" s="31" t="s">
        <v>24</v>
      </c>
      <c r="C11" s="31" t="s">
        <v>33</v>
      </c>
      <c r="D11" s="31">
        <v>24353544</v>
      </c>
      <c r="E11" s="25">
        <v>0</v>
      </c>
      <c r="F11" s="25">
        <v>7004</v>
      </c>
      <c r="G11" s="25">
        <f t="shared" si="0"/>
        <v>7004</v>
      </c>
      <c r="H11" s="25"/>
      <c r="I11" s="25">
        <v>0</v>
      </c>
      <c r="J11" s="25">
        <v>29</v>
      </c>
      <c r="K11" s="25">
        <f t="shared" si="1"/>
        <v>233.46666666666667</v>
      </c>
      <c r="L11" s="25">
        <f t="shared" si="2"/>
        <v>233.46666666666624</v>
      </c>
      <c r="M11" s="25">
        <f t="shared" si="3"/>
        <v>6770.5333333333338</v>
      </c>
      <c r="N11" s="25">
        <f t="shared" si="4"/>
        <v>6770.5333333333338</v>
      </c>
      <c r="O11" s="25">
        <v>5000</v>
      </c>
      <c r="P11" s="25" t="s">
        <v>35</v>
      </c>
      <c r="Q11" s="25">
        <f t="shared" si="5"/>
        <v>1770.5333333333338</v>
      </c>
      <c r="R11" s="65">
        <f>Table2[[#This Row],[Pending 
Salary]]/Table2[[#This Row],[Pay able
salary]]</f>
        <v>0.2615057405620434</v>
      </c>
    </row>
    <row r="12" spans="1:18" x14ac:dyDescent="0.25">
      <c r="A12" s="32" t="s">
        <v>36</v>
      </c>
      <c r="B12" s="32"/>
      <c r="C12" s="32"/>
      <c r="D12" s="32"/>
      <c r="E12" s="33">
        <f>SUM(E2:E11)</f>
        <v>17700</v>
      </c>
      <c r="F12" s="25">
        <f t="shared" ref="F12:Q12" si="6">SUM(F2:F11)</f>
        <v>97208</v>
      </c>
      <c r="G12" s="25">
        <f t="shared" si="6"/>
        <v>114908</v>
      </c>
      <c r="H12" s="25">
        <f t="shared" si="6"/>
        <v>1600</v>
      </c>
      <c r="I12" s="25">
        <f t="shared" si="6"/>
        <v>6000</v>
      </c>
      <c r="J12" s="25">
        <f t="shared" si="6"/>
        <v>265</v>
      </c>
      <c r="K12" s="25">
        <f t="shared" si="6"/>
        <v>3240.2666666666669</v>
      </c>
      <c r="L12" s="25">
        <f t="shared" si="6"/>
        <v>8399.6999999999989</v>
      </c>
      <c r="M12" s="25">
        <f t="shared" si="6"/>
        <v>88808.300000000017</v>
      </c>
      <c r="N12" s="25">
        <f t="shared" si="6"/>
        <v>112508.3</v>
      </c>
      <c r="O12" s="25">
        <f t="shared" si="6"/>
        <v>70078</v>
      </c>
      <c r="P12" s="25"/>
      <c r="Q12" s="25">
        <f t="shared" si="6"/>
        <v>42430.299999999996</v>
      </c>
      <c r="R12" s="65">
        <f>Table2[[#This Row],[Pending 
Salary]]/Table2[[#This Row],[Pay able
salary]]</f>
        <v>0.3771303983794973</v>
      </c>
    </row>
    <row r="13" spans="1:18" ht="23.25" x14ac:dyDescent="0.25">
      <c r="A13" s="34" t="s">
        <v>37</v>
      </c>
      <c r="B13" s="35"/>
      <c r="C13" s="36">
        <f>N12</f>
        <v>112508.3</v>
      </c>
      <c r="D13" s="37" t="s">
        <v>38</v>
      </c>
      <c r="E13" s="38">
        <f>O12</f>
        <v>70078</v>
      </c>
      <c r="F13" s="39"/>
      <c r="G13" s="40" t="s">
        <v>39</v>
      </c>
      <c r="H13" s="41"/>
      <c r="I13" s="42">
        <f>C13-E13</f>
        <v>42430.3</v>
      </c>
      <c r="J13" s="43"/>
      <c r="L13" s="26"/>
      <c r="M13" s="26"/>
      <c r="N13" s="26"/>
      <c r="O13" s="26"/>
      <c r="P13" s="26"/>
      <c r="Q13" s="26"/>
      <c r="R13" s="65" t="e">
        <f>Table2[[#This Row],[Pending 
Salary]]/Table2[[#This Row],[Pay able
salary]]</f>
        <v>#DIV/0!</v>
      </c>
    </row>
    <row r="16" spans="1:18" ht="45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6" ht="30" customHeight="1" x14ac:dyDescent="0.25"/>
  </sheetData>
  <phoneticPr fontId="3" type="noConversion"/>
  <conditionalFormatting sqref="R2:R13">
    <cfRule type="containsText" dxfId="4" priority="1" operator="containsText" text="PAID">
      <formula>NOT(ISERROR(SEARCH("PAID",R2)))</formula>
    </cfRule>
    <cfRule type="expression" dxfId="3" priority="2">
      <formula>$Q$2=0</formula>
    </cfRule>
    <cfRule type="expression" priority="3">
      <formula>$Q$2=0</formula>
    </cfRule>
    <cfRule type="expression" dxfId="2" priority="4">
      <formula>Q1=0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B048-00E2-444C-A5B0-52CC5B1CA61D}">
  <sheetPr>
    <tabColor rgb="FF0070C0"/>
  </sheetPr>
  <dimension ref="A1:O27"/>
  <sheetViews>
    <sheetView topLeftCell="A12" workbookViewId="0">
      <selection activeCell="A3" sqref="A3:E10"/>
    </sheetView>
  </sheetViews>
  <sheetFormatPr defaultRowHeight="15" x14ac:dyDescent="0.25"/>
  <cols>
    <col min="1" max="1" width="15.5703125" bestFit="1" customWidth="1"/>
    <col min="2" max="2" width="11.85546875" bestFit="1" customWidth="1"/>
    <col min="3" max="3" width="9" bestFit="1" customWidth="1"/>
    <col min="4" max="4" width="16.5703125" bestFit="1" customWidth="1"/>
    <col min="5" max="5" width="14.7109375" bestFit="1" customWidth="1"/>
    <col min="6" max="6" width="18.28515625" customWidth="1"/>
    <col min="7" max="7" width="15" bestFit="1" customWidth="1"/>
    <col min="8" max="8" width="16.28515625" bestFit="1" customWidth="1"/>
    <col min="9" max="9" width="13.42578125" bestFit="1" customWidth="1"/>
    <col min="10" max="10" width="12.85546875" bestFit="1" customWidth="1"/>
    <col min="12" max="12" width="11.7109375" bestFit="1" customWidth="1"/>
    <col min="13" max="13" width="10.140625" bestFit="1" customWidth="1"/>
    <col min="14" max="14" width="12" bestFit="1" customWidth="1"/>
    <col min="15" max="15" width="14.140625" bestFit="1" customWidth="1"/>
  </cols>
  <sheetData>
    <row r="1" spans="1:15" ht="53.25" customHeight="1" thickBot="1" x14ac:dyDescent="0.3">
      <c r="A1" s="3" t="s">
        <v>63</v>
      </c>
      <c r="B1" s="3"/>
      <c r="C1" s="3"/>
      <c r="D1" s="4" t="s">
        <v>40</v>
      </c>
      <c r="E1" s="4"/>
      <c r="F1" s="4"/>
      <c r="G1" s="3" t="s">
        <v>41</v>
      </c>
      <c r="H1" s="3"/>
      <c r="I1" s="3"/>
    </row>
    <row r="2" spans="1:15" ht="15.75" thickBo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s="2" customFormat="1" ht="24.75" customHeight="1" thickBot="1" x14ac:dyDescent="0.25">
      <c r="A3" s="9" t="s">
        <v>47</v>
      </c>
      <c r="B3" s="9"/>
      <c r="C3" s="9"/>
      <c r="D3" s="9"/>
      <c r="E3" s="9"/>
      <c r="G3" s="10" t="s">
        <v>46</v>
      </c>
      <c r="H3" s="10"/>
      <c r="I3" s="10"/>
      <c r="J3" s="10"/>
      <c r="L3" s="6" t="s">
        <v>52</v>
      </c>
      <c r="M3" s="7"/>
      <c r="N3" s="7"/>
      <c r="O3" s="8"/>
    </row>
    <row r="4" spans="1:15" ht="47.25" x14ac:dyDescent="0.25">
      <c r="A4" s="49" t="s">
        <v>42</v>
      </c>
      <c r="B4" s="50" t="s">
        <v>43</v>
      </c>
      <c r="C4" s="51"/>
      <c r="D4" s="49" t="s">
        <v>44</v>
      </c>
      <c r="E4" s="49" t="s">
        <v>45</v>
      </c>
      <c r="F4" s="11"/>
      <c r="G4" s="16" t="s">
        <v>48</v>
      </c>
      <c r="H4" s="17" t="s">
        <v>49</v>
      </c>
      <c r="I4" s="17" t="s">
        <v>50</v>
      </c>
      <c r="J4" s="17" t="s">
        <v>51</v>
      </c>
      <c r="K4" s="1"/>
      <c r="L4" s="46" t="s">
        <v>54</v>
      </c>
      <c r="M4" s="48" t="s">
        <v>53</v>
      </c>
      <c r="N4" s="47" t="s">
        <v>55</v>
      </c>
      <c r="O4" s="46" t="s">
        <v>56</v>
      </c>
    </row>
    <row r="5" spans="1:15" ht="15.75" x14ac:dyDescent="0.25">
      <c r="A5" s="12">
        <f>MIN('Raw Data'!A2:A11)</f>
        <v>1</v>
      </c>
      <c r="B5" s="13" t="str">
        <f>_xlfn.XLOOKUP(A5,'Raw Data'!A2:A11,'Raw Data'!B2:B11)</f>
        <v>Rida</v>
      </c>
      <c r="C5" s="13"/>
      <c r="D5" s="14" t="str">
        <f>_xlfn.XLOOKUP(A5,'Raw Data'!A2:A11,'Raw Data'!C2:C11)</f>
        <v>English</v>
      </c>
      <c r="E5" s="14">
        <f>_xlfn.XLOOKUP(A5,'Raw Data'!A2:A11,'Raw Data'!D2:D11)</f>
        <v>24353535</v>
      </c>
      <c r="G5" s="21">
        <f>_xlfn.XLOOKUP(A5,'Raw Data'!A2:A11,'Raw Data'!F2:F11)</f>
        <v>13000</v>
      </c>
      <c r="H5" s="21">
        <f>_xlfn.XLOOKUP(A5,'Raw Data'!A2:A11,'Raw Data'!H2:H11)</f>
        <v>1600</v>
      </c>
      <c r="I5" s="21">
        <f>_xlfn.XLOOKUP(B5,'Raw Data'!B2:B11,'Raw Data'!I2:I11)</f>
        <v>5000</v>
      </c>
      <c r="J5" s="21">
        <f>_xlfn.XLOOKUP(A5,'Raw Data'!A2:A11,'Raw Data'!G2:G11)</f>
        <v>17000</v>
      </c>
      <c r="L5" s="12">
        <f>_xlfn.XLOOKUP(A5,'Raw Data'!A2:A11,'Raw Data'!J2:J11)</f>
        <v>27</v>
      </c>
      <c r="M5" s="22">
        <f>_xlfn.XLOOKUP(B5,'Raw Data'!B2:B11,'Raw Data'!K2:K11)</f>
        <v>433.33333333333331</v>
      </c>
      <c r="N5" s="22">
        <f>_xlfn.XLOOKUP(A5, 'Raw Data'!$A$2:$A$11, 'Raw Data'!$L$2:$L$11)</f>
        <v>2900</v>
      </c>
      <c r="O5" s="22">
        <f>_xlfn.XLOOKUP(A5,'Raw Data'!A2:A11,'Raw Data'!M2:M11)</f>
        <v>10100</v>
      </c>
    </row>
    <row r="6" spans="1:15" ht="15.75" x14ac:dyDescent="0.25">
      <c r="A6" s="12">
        <f>MIN('Raw Data'!A3:A12)</f>
        <v>2</v>
      </c>
      <c r="B6" s="13" t="str">
        <f>_xlfn.XLOOKUP(A6,'Raw Data'!A3:A12,'Raw Data'!B3:B12)</f>
        <v>Nisan</v>
      </c>
      <c r="C6" s="13"/>
      <c r="D6" s="14" t="str">
        <f>_xlfn.XLOOKUP(A6,'Raw Data'!A3:A12,'Raw Data'!C3:C12)</f>
        <v>urdu</v>
      </c>
      <c r="E6" s="14">
        <f>_xlfn.XLOOKUP(A6,'Raw Data'!A3:A12,'Raw Data'!D3:D12)</f>
        <v>24353536</v>
      </c>
      <c r="G6" s="21">
        <f>_xlfn.XLOOKUP(A6,'Raw Data'!A3:A12,'Raw Data'!F3:F12)</f>
        <v>13000</v>
      </c>
      <c r="H6" s="21">
        <f>_xlfn.XLOOKUP(A6,'Raw Data'!A3:A12,'Raw Data'!H3:H12)</f>
        <v>0</v>
      </c>
      <c r="I6" s="21">
        <f>_xlfn.XLOOKUP(B6,'Raw Data'!B3:B12,'Raw Data'!I3:I12)</f>
        <v>0</v>
      </c>
      <c r="J6" s="21">
        <f>_xlfn.XLOOKUP(A6,'Raw Data'!A3:A12,'Raw Data'!G3:G12)</f>
        <v>13000</v>
      </c>
      <c r="L6" s="12">
        <f>_xlfn.XLOOKUP(A6,'Raw Data'!A3:A12,'Raw Data'!J3:J12)</f>
        <v>30</v>
      </c>
      <c r="M6" s="22">
        <f>_xlfn.XLOOKUP(B6,'Raw Data'!B3:B12,'Raw Data'!K3:K12)</f>
        <v>433.33333333333331</v>
      </c>
      <c r="N6" s="22">
        <f>_xlfn.XLOOKUP(A6, 'Raw Data'!$A$2:$A$11, 'Raw Data'!$L$2:$L$11)</f>
        <v>0</v>
      </c>
      <c r="O6" s="22">
        <f>_xlfn.XLOOKUP(A6,'Raw Data'!A3:A12,'Raw Data'!M3:M12)</f>
        <v>13000</v>
      </c>
    </row>
    <row r="7" spans="1:15" ht="15.75" x14ac:dyDescent="0.25">
      <c r="A7" s="12">
        <f>MIN('Raw Data'!A4:A13)</f>
        <v>3</v>
      </c>
      <c r="B7" s="13" t="str">
        <f>_xlfn.XLOOKUP(A7,'Raw Data'!A4:A13,'Raw Data'!B4:B13)</f>
        <v>Saqib</v>
      </c>
      <c r="C7" s="13"/>
      <c r="D7" s="14" t="str">
        <f>_xlfn.XLOOKUP(A7,'Raw Data'!A4:A13,'Raw Data'!C4:C13)</f>
        <v>Maths</v>
      </c>
      <c r="E7" s="14">
        <f>_xlfn.XLOOKUP(A7,'Raw Data'!A4:A13,'Raw Data'!D4:D13)</f>
        <v>24353537</v>
      </c>
      <c r="G7" s="21">
        <f>_xlfn.XLOOKUP(A7,'Raw Data'!A4:A13,'Raw Data'!F4:F13)</f>
        <v>27000</v>
      </c>
      <c r="H7" s="21">
        <f>_xlfn.XLOOKUP(A7,'Raw Data'!A4:A13,'Raw Data'!H4:H13)</f>
        <v>0</v>
      </c>
      <c r="I7" s="21">
        <f>_xlfn.XLOOKUP(B7,'Raw Data'!B4:B13,'Raw Data'!I4:I13)</f>
        <v>0</v>
      </c>
      <c r="J7" s="21">
        <f>_xlfn.XLOOKUP(A7,'Raw Data'!A4:A13,'Raw Data'!G4:G13)</f>
        <v>27700</v>
      </c>
      <c r="L7" s="12">
        <f>_xlfn.XLOOKUP(A7,'Raw Data'!A4:A13,'Raw Data'!J4:J13)</f>
        <v>30</v>
      </c>
      <c r="M7" s="22">
        <f>_xlfn.XLOOKUP(B7,'Raw Data'!B4:B13,'Raw Data'!K4:K13)</f>
        <v>900</v>
      </c>
      <c r="N7" s="22">
        <f>_xlfn.XLOOKUP(A7, 'Raw Data'!$A$2:$A$11, 'Raw Data'!$L$2:$L$11)</f>
        <v>0</v>
      </c>
      <c r="O7" s="22">
        <f>_xlfn.XLOOKUP(A7,'Raw Data'!A4:A13,'Raw Data'!M4:M13)</f>
        <v>27000</v>
      </c>
    </row>
    <row r="8" spans="1:15" ht="15.75" x14ac:dyDescent="0.25">
      <c r="A8" s="12">
        <f>MIN('Raw Data'!A5:A14)</f>
        <v>4</v>
      </c>
      <c r="B8" s="13" t="str">
        <f>_xlfn.XLOOKUP(A8,'Raw Data'!A5:A14,'Raw Data'!B5:B14)</f>
        <v>Kashif</v>
      </c>
      <c r="C8" s="13"/>
      <c r="D8" s="14" t="str">
        <f>_xlfn.XLOOKUP(A8,'Raw Data'!A5:A14,'Raw Data'!C5:C14)</f>
        <v>Computer</v>
      </c>
      <c r="E8" s="14">
        <f>_xlfn.XLOOKUP(A8,'Raw Data'!A5:A14,'Raw Data'!D5:D14)</f>
        <v>24353538</v>
      </c>
      <c r="G8" s="21">
        <f>_xlfn.XLOOKUP(A8,'Raw Data'!A5:A14,'Raw Data'!F5:F14)</f>
        <v>3643</v>
      </c>
      <c r="H8" s="21">
        <f>_xlfn.XLOOKUP(A8,'Raw Data'!A5:A14,'Raw Data'!H5:H14)</f>
        <v>0</v>
      </c>
      <c r="I8" s="21">
        <f>_xlfn.XLOOKUP(B8,'Raw Data'!B5:B14,'Raw Data'!I5:I14)</f>
        <v>0</v>
      </c>
      <c r="J8" s="21">
        <f>_xlfn.XLOOKUP(A8,'Raw Data'!A5:A14,'Raw Data'!G5:G14)</f>
        <v>3643</v>
      </c>
      <c r="L8" s="12">
        <f>_xlfn.XLOOKUP(A8,'Raw Data'!A5:A14,'Raw Data'!J5:J14)</f>
        <v>15</v>
      </c>
      <c r="M8" s="22">
        <f>_xlfn.XLOOKUP(B8,'Raw Data'!B5:B14,'Raw Data'!K5:K14)</f>
        <v>121.43333333333334</v>
      </c>
      <c r="N8" s="22">
        <f>_xlfn.XLOOKUP(A8, 'Raw Data'!$A$2:$A$11, 'Raw Data'!$L$2:$L$11)</f>
        <v>1821.5</v>
      </c>
      <c r="O8" s="22">
        <f>_xlfn.XLOOKUP(A8,'Raw Data'!A5:A14,'Raw Data'!M5:M14)</f>
        <v>1821.5</v>
      </c>
    </row>
    <row r="9" spans="1:15" ht="15.75" x14ac:dyDescent="0.25">
      <c r="A9" s="12">
        <f>MIN('Raw Data'!A6:A15)</f>
        <v>5</v>
      </c>
      <c r="B9" s="13" t="str">
        <f>_xlfn.XLOOKUP(A9,'Raw Data'!A6:A15,'Raw Data'!B6:B15)</f>
        <v>Asif</v>
      </c>
      <c r="C9" s="13"/>
      <c r="D9" s="14" t="str">
        <f>_xlfn.XLOOKUP(A9,'Raw Data'!A6:A15,'Raw Data'!C6:C15)</f>
        <v>Commerce</v>
      </c>
      <c r="E9" s="14">
        <f>_xlfn.XLOOKUP(A9,'Raw Data'!A6:A15,'Raw Data'!D6:D15)</f>
        <v>24353539</v>
      </c>
      <c r="G9" s="21">
        <f>_xlfn.XLOOKUP(A9,'Raw Data'!A6:A15,'Raw Data'!F6:F15)</f>
        <v>5555</v>
      </c>
      <c r="H9" s="21">
        <f>_xlfn.XLOOKUP(A9,'Raw Data'!A6:A15,'Raw Data'!H6:H15)</f>
        <v>0</v>
      </c>
      <c r="I9" s="21">
        <f>_xlfn.XLOOKUP(B9,'Raw Data'!B6:B15,'Raw Data'!I6:I15)</f>
        <v>0</v>
      </c>
      <c r="J9" s="21">
        <f>_xlfn.XLOOKUP(A9,'Raw Data'!A6:A15,'Raw Data'!G6:G15)</f>
        <v>5555</v>
      </c>
      <c r="L9" s="12">
        <f>_xlfn.XLOOKUP(A9,'Raw Data'!A6:A15,'Raw Data'!J6:J15)</f>
        <v>24</v>
      </c>
      <c r="M9" s="22">
        <f>_xlfn.XLOOKUP(B9,'Raw Data'!B6:B15,'Raw Data'!K6:K15)</f>
        <v>185.16666666666666</v>
      </c>
      <c r="N9" s="22">
        <f>_xlfn.XLOOKUP(A9, 'Raw Data'!$A$2:$A$11, 'Raw Data'!$L$2:$L$11)</f>
        <v>1111</v>
      </c>
      <c r="O9" s="22">
        <f>_xlfn.XLOOKUP(A9,'Raw Data'!A6:A15,'Raw Data'!M6:M15)</f>
        <v>4444</v>
      </c>
    </row>
    <row r="10" spans="1:15" ht="15.75" x14ac:dyDescent="0.25">
      <c r="A10" s="12">
        <f>MIN('Raw Data'!A7:A16)</f>
        <v>6</v>
      </c>
      <c r="B10" s="13" t="str">
        <f>_xlfn.XLOOKUP(A10,'Raw Data'!A7:A16,'Raw Data'!B7:B16)</f>
        <v>Rifaq</v>
      </c>
      <c r="C10" s="13"/>
      <c r="D10" s="14" t="str">
        <f>_xlfn.XLOOKUP(A10,'Raw Data'!A7:A16,'Raw Data'!C7:C16)</f>
        <v>Islamyat</v>
      </c>
      <c r="E10" s="14">
        <f>_xlfn.XLOOKUP(A10,'Raw Data'!A7:A16,'Raw Data'!D7:D16)</f>
        <v>24353540</v>
      </c>
      <c r="G10" s="21">
        <f>_xlfn.XLOOKUP(A10,'Raw Data'!A7:A16,'Raw Data'!F7:F16)</f>
        <v>7000</v>
      </c>
      <c r="H10" s="21">
        <f>_xlfn.XLOOKUP(A10,'Raw Data'!A7:A16,'Raw Data'!H7:H16)</f>
        <v>0</v>
      </c>
      <c r="I10" s="21">
        <f>_xlfn.XLOOKUP(B10,'Raw Data'!B7:B16,'Raw Data'!I7:I16)</f>
        <v>1000</v>
      </c>
      <c r="J10" s="21">
        <f>_xlfn.XLOOKUP(A10,'Raw Data'!A7:A16,'Raw Data'!G7:G16)</f>
        <v>7000</v>
      </c>
      <c r="L10" s="12">
        <f>_xlfn.XLOOKUP(A10,'Raw Data'!A7:A16,'Raw Data'!J7:J16)</f>
        <v>25</v>
      </c>
      <c r="M10" s="22">
        <f>_xlfn.XLOOKUP(B10,'Raw Data'!B7:B16,'Raw Data'!K7:K16)</f>
        <v>233.33333333333334</v>
      </c>
      <c r="N10" s="22">
        <f>_xlfn.XLOOKUP(A10, 'Raw Data'!$A$2:$A$11, 'Raw Data'!$L$2:$L$11)</f>
        <v>1166.6666666666661</v>
      </c>
      <c r="O10" s="22">
        <f>_xlfn.XLOOKUP(A10,'Raw Data'!A7:A16,'Raw Data'!M7:M16)</f>
        <v>5833.3333333333339</v>
      </c>
    </row>
    <row r="11" spans="1:15" ht="15.75" x14ac:dyDescent="0.25">
      <c r="A11" s="12">
        <f>MIN('Raw Data'!A8:A17)</f>
        <v>7</v>
      </c>
      <c r="B11" s="13" t="str">
        <f>_xlfn.XLOOKUP(A11,'Raw Data'!A8:A17,'Raw Data'!B8:B17)</f>
        <v>Faisal</v>
      </c>
      <c r="C11" s="13"/>
      <c r="D11" s="14" t="str">
        <f>_xlfn.XLOOKUP(A11,'Raw Data'!A8:A17,'Raw Data'!C8:C17)</f>
        <v>Maths</v>
      </c>
      <c r="E11" s="14">
        <f>_xlfn.XLOOKUP(A11,'Raw Data'!A8:A17,'Raw Data'!D8:D17)</f>
        <v>24353541</v>
      </c>
      <c r="G11" s="21">
        <f>_xlfn.XLOOKUP(A11,'Raw Data'!A8:A17,'Raw Data'!F8:F17)</f>
        <v>7001</v>
      </c>
      <c r="H11" s="21">
        <f>_xlfn.XLOOKUP(A11,'Raw Data'!A8:A17,'Raw Data'!H8:H17)</f>
        <v>0</v>
      </c>
      <c r="I11" s="21">
        <f>_xlfn.XLOOKUP(B11,'Raw Data'!B8:B17,'Raw Data'!I8:I17)</f>
        <v>0</v>
      </c>
      <c r="J11" s="21">
        <f>_xlfn.XLOOKUP(A11,'Raw Data'!A8:A17,'Raw Data'!G8:G17)</f>
        <v>13001</v>
      </c>
      <c r="L11" s="12">
        <f>_xlfn.XLOOKUP(A11,'Raw Data'!A8:A17,'Raw Data'!J8:J17)</f>
        <v>30</v>
      </c>
      <c r="M11" s="22">
        <f>_xlfn.XLOOKUP(B11,'Raw Data'!B8:B17,'Raw Data'!K8:K17)</f>
        <v>233.36666666666667</v>
      </c>
      <c r="N11" s="22">
        <f>_xlfn.XLOOKUP(A11, 'Raw Data'!$A$2:$A$11, 'Raw Data'!$L$2:$L$11)</f>
        <v>0</v>
      </c>
      <c r="O11" s="22">
        <f>_xlfn.XLOOKUP(A11,'Raw Data'!A8:A17,'Raw Data'!M8:M17)</f>
        <v>7001</v>
      </c>
    </row>
    <row r="12" spans="1:15" ht="15.75" x14ac:dyDescent="0.25">
      <c r="A12" s="12">
        <f>MIN('Raw Data'!A9:A18)</f>
        <v>8</v>
      </c>
      <c r="B12" s="13" t="str">
        <f>_xlfn.XLOOKUP(A12,'Raw Data'!A9:A18,'Raw Data'!B9:B18)</f>
        <v>kamran</v>
      </c>
      <c r="C12" s="13"/>
      <c r="D12" s="14" t="str">
        <f>_xlfn.XLOOKUP(A12,'Raw Data'!A9:A18,'Raw Data'!C9:C18)</f>
        <v>Lab attendance</v>
      </c>
      <c r="E12" s="14">
        <f>_xlfn.XLOOKUP(A12,'Raw Data'!A9:A18,'Raw Data'!D9:D18)</f>
        <v>24353542</v>
      </c>
      <c r="G12" s="21">
        <f>_xlfn.XLOOKUP(A12,'Raw Data'!A9:A18,'Raw Data'!F9:F18)</f>
        <v>7002</v>
      </c>
      <c r="H12" s="21">
        <f>_xlfn.XLOOKUP(A12,'Raw Data'!A9:A18,'Raw Data'!H9:H18)</f>
        <v>0</v>
      </c>
      <c r="I12" s="21">
        <f>_xlfn.XLOOKUP(B12,'Raw Data'!B9:B18,'Raw Data'!I9:I18)</f>
        <v>0</v>
      </c>
      <c r="J12" s="21">
        <f>_xlfn.XLOOKUP(A12,'Raw Data'!A9:A18,'Raw Data'!G9:G18)</f>
        <v>14002</v>
      </c>
      <c r="L12" s="12">
        <f>_xlfn.XLOOKUP(A12,'Raw Data'!A9:A18,'Raw Data'!J9:J18)</f>
        <v>27</v>
      </c>
      <c r="M12" s="22">
        <f>_xlfn.XLOOKUP(B12,'Raw Data'!B9:B18,'Raw Data'!K9:K18)</f>
        <v>233.4</v>
      </c>
      <c r="N12" s="22">
        <f>_xlfn.XLOOKUP(A12, 'Raw Data'!$A$2:$A$11, 'Raw Data'!$L$2:$L$11)</f>
        <v>700.19999999999982</v>
      </c>
      <c r="O12" s="22">
        <f>_xlfn.XLOOKUP(A12,'Raw Data'!A9:A18,'Raw Data'!M9:M18)</f>
        <v>6301.8</v>
      </c>
    </row>
    <row r="13" spans="1:15" ht="15.75" x14ac:dyDescent="0.25">
      <c r="A13" s="12">
        <f>MIN('Raw Data'!A10:A19)</f>
        <v>9</v>
      </c>
      <c r="B13" s="13" t="str">
        <f>_xlfn.XLOOKUP(A13,'Raw Data'!A10:A19,'Raw Data'!B10:B19)</f>
        <v>somira</v>
      </c>
      <c r="C13" s="13"/>
      <c r="D13" s="14" t="str">
        <f>_xlfn.XLOOKUP(A13,'Raw Data'!A10:A19,'Raw Data'!C10:C19)</f>
        <v>Accountant</v>
      </c>
      <c r="E13" s="14">
        <f>_xlfn.XLOOKUP(A13,'Raw Data'!A10:A19,'Raw Data'!D10:D19)</f>
        <v>24353543</v>
      </c>
      <c r="G13" s="21">
        <f>_xlfn.XLOOKUP(A13,'Raw Data'!A10:A19,'Raw Data'!F10:F19)</f>
        <v>7003</v>
      </c>
      <c r="H13" s="21">
        <f>_xlfn.XLOOKUP(A13,'Raw Data'!A10:A19,'Raw Data'!H10:H19)</f>
        <v>0</v>
      </c>
      <c r="I13" s="21">
        <f>_xlfn.XLOOKUP(B13,'Raw Data'!B10:B19,'Raw Data'!I10:I19)</f>
        <v>0</v>
      </c>
      <c r="J13" s="21">
        <f>_xlfn.XLOOKUP(A13,'Raw Data'!A10:A19,'Raw Data'!G10:G19)</f>
        <v>7003</v>
      </c>
      <c r="L13" s="12">
        <f>_xlfn.XLOOKUP(A13,'Raw Data'!A10:A19,'Raw Data'!J10:J19)</f>
        <v>28</v>
      </c>
      <c r="M13" s="22">
        <f>_xlfn.XLOOKUP(B13,'Raw Data'!B10:B19,'Raw Data'!K10:K19)</f>
        <v>233.43333333333334</v>
      </c>
      <c r="N13" s="22">
        <f>_xlfn.XLOOKUP(A13, 'Raw Data'!$A$2:$A$11, 'Raw Data'!$L$2:$L$11)</f>
        <v>466.86666666666679</v>
      </c>
      <c r="O13" s="22">
        <f>_xlfn.XLOOKUP(A13,'Raw Data'!A10:A19,'Raw Data'!M10:M19)</f>
        <v>6536.1333333333332</v>
      </c>
    </row>
    <row r="14" spans="1:15" ht="15.75" x14ac:dyDescent="0.25">
      <c r="A14" s="12">
        <f>MIN('Raw Data'!A11:A20)</f>
        <v>10</v>
      </c>
      <c r="B14" s="13" t="str">
        <f>_xlfn.XLOOKUP(A14,'Raw Data'!A11:A20,'Raw Data'!B11:B20)</f>
        <v>Amana</v>
      </c>
      <c r="C14" s="13"/>
      <c r="D14" s="14" t="str">
        <f>_xlfn.XLOOKUP(A14,'Raw Data'!A11:A20,'Raw Data'!C11:C20)</f>
        <v>Office worker</v>
      </c>
      <c r="E14" s="14">
        <f>_xlfn.XLOOKUP(A14,'Raw Data'!A11:A20,'Raw Data'!D11:D20)</f>
        <v>24353544</v>
      </c>
      <c r="G14" s="21">
        <f>_xlfn.XLOOKUP(A14,'Raw Data'!A11:A20,'Raw Data'!F11:F20)</f>
        <v>7004</v>
      </c>
      <c r="H14" s="21">
        <f>_xlfn.XLOOKUP(A14,'Raw Data'!A11:A20,'Raw Data'!H11:H20)</f>
        <v>0</v>
      </c>
      <c r="I14" s="21">
        <f>_xlfn.XLOOKUP(B14,'Raw Data'!B11:B20,'Raw Data'!I11:I20)</f>
        <v>0</v>
      </c>
      <c r="J14" s="21">
        <f>_xlfn.XLOOKUP(A14,'Raw Data'!A11:A20,'Raw Data'!G11:G20)</f>
        <v>7004</v>
      </c>
      <c r="L14" s="12">
        <f>_xlfn.XLOOKUP(A14,'Raw Data'!A11:A20,'Raw Data'!J11:J20)</f>
        <v>29</v>
      </c>
      <c r="M14" s="22">
        <f>_xlfn.XLOOKUP(B14,'Raw Data'!B11:B20,'Raw Data'!K11:K20)</f>
        <v>233.46666666666667</v>
      </c>
      <c r="N14" s="22">
        <f>_xlfn.XLOOKUP(A14, 'Raw Data'!$A$2:$A$11, 'Raw Data'!$L$2:$L$11)</f>
        <v>233.46666666666624</v>
      </c>
      <c r="O14" s="22">
        <f>_xlfn.XLOOKUP(A14,'Raw Data'!A11:A20,'Raw Data'!M11:M20)</f>
        <v>6770.5333333333338</v>
      </c>
    </row>
    <row r="16" spans="1:15" ht="18.75" x14ac:dyDescent="0.25">
      <c r="A16" s="18" t="s">
        <v>57</v>
      </c>
      <c r="B16" s="19"/>
      <c r="C16" s="19"/>
      <c r="D16" s="19"/>
      <c r="E16" s="19"/>
    </row>
    <row r="17" spans="1:5" ht="47.25" x14ac:dyDescent="0.25">
      <c r="A17" s="52" t="s">
        <v>58</v>
      </c>
      <c r="B17" s="52" t="s">
        <v>59</v>
      </c>
      <c r="C17" s="53" t="s">
        <v>64</v>
      </c>
      <c r="D17" s="52" t="s">
        <v>60</v>
      </c>
      <c r="E17" s="52" t="s">
        <v>61</v>
      </c>
    </row>
    <row r="18" spans="1:5" x14ac:dyDescent="0.25">
      <c r="A18" s="23">
        <f>_xlfn.XLOOKUP(A5,'Raw Data'!A2:A11,'Raw Data'!N2:N11)</f>
        <v>19100</v>
      </c>
      <c r="B18" s="23">
        <f>_xlfn.XLOOKUP(B5,'Raw Data'!B2:B11,'Raw Data'!O2:O11)</f>
        <v>0</v>
      </c>
      <c r="C18" s="45">
        <f>_xlfn.XLOOKUP(A5,'Raw Data'!A2:A11,'Raw Data'!Q2:Q11)</f>
        <v>19100</v>
      </c>
      <c r="D18" s="23" t="str">
        <f>_xlfn.XLOOKUP(B5,'Raw Data'!B2:B11,'Raw Data'!P2:P11)</f>
        <v>13-3-2026</v>
      </c>
      <c r="E18" s="20" t="str" cm="1">
        <f t="array" ref="E18">_xlfn.IFS(B18=0,"Unpaid",A18=B18,"Fully Paid",A18&gt;B18,"Partially Paid")</f>
        <v>Unpaid</v>
      </c>
    </row>
    <row r="19" spans="1:5" x14ac:dyDescent="0.25">
      <c r="A19" s="23">
        <f>_xlfn.XLOOKUP(A6,'Raw Data'!A3:A12,'Raw Data'!N3:N12)</f>
        <v>13000</v>
      </c>
      <c r="B19" s="23">
        <f>_xlfn.XLOOKUP(B6,'Raw Data'!B3:B12,'Raw Data'!O3:O12)</f>
        <v>13000</v>
      </c>
      <c r="C19" s="23">
        <f>_xlfn.XLOOKUP(A6,'Raw Data'!A3:A12,'Raw Data'!Q3:Q12)</f>
        <v>0</v>
      </c>
      <c r="D19" s="23" t="str">
        <f>_xlfn.XLOOKUP(B6,'Raw Data'!B3:B12,'Raw Data'!P3:P12)</f>
        <v>23-3-2026</v>
      </c>
      <c r="E19" s="20" t="str" cm="1">
        <f t="array" ref="E19">_xlfn.IFS(B19=0,"Unpaid",A19=B19,"Fully Paid",A19&gt;B19,"Partially Paid")</f>
        <v>Fully Paid</v>
      </c>
    </row>
    <row r="20" spans="1:5" x14ac:dyDescent="0.25">
      <c r="A20" s="23">
        <f>_xlfn.XLOOKUP(A7,'Raw Data'!A4:A13,'Raw Data'!N4:N13)</f>
        <v>27700</v>
      </c>
      <c r="B20" s="23">
        <f>_xlfn.XLOOKUP(B7,'Raw Data'!B4:B13,'Raw Data'!O4:O13)</f>
        <v>20000</v>
      </c>
      <c r="C20" s="23">
        <f>_xlfn.XLOOKUP(A7,'Raw Data'!A4:A13,'Raw Data'!Q4:Q13)</f>
        <v>7700</v>
      </c>
      <c r="D20" s="23" t="str">
        <f>_xlfn.XLOOKUP(B7,'Raw Data'!B4:B13,'Raw Data'!P4:P13)</f>
        <v>23-3-2026</v>
      </c>
      <c r="E20" s="20" t="str" cm="1">
        <f t="array" ref="E20">_xlfn.IFS(B20=0,"Unpaid",A20=B20,"Fully Paid",A20&gt;B20,"Partially Paid")</f>
        <v>Partially Paid</v>
      </c>
    </row>
    <row r="21" spans="1:5" x14ac:dyDescent="0.25">
      <c r="A21" s="23">
        <f>_xlfn.XLOOKUP(A8,'Raw Data'!A5:A14,'Raw Data'!N5:N14)</f>
        <v>1821.5</v>
      </c>
      <c r="B21" s="23">
        <f>_xlfn.XLOOKUP(B8,'Raw Data'!B5:B14,'Raw Data'!O5:O14)</f>
        <v>1800</v>
      </c>
      <c r="C21" s="23">
        <f>_xlfn.XLOOKUP(A8,'Raw Data'!A5:A14,'Raw Data'!Q5:Q14)</f>
        <v>21.5</v>
      </c>
      <c r="D21" s="23" t="str">
        <f>_xlfn.XLOOKUP(B8,'Raw Data'!B5:B14,'Raw Data'!P5:P14)</f>
        <v>23-3-2026</v>
      </c>
      <c r="E21" s="20" t="str" cm="1">
        <f t="array" ref="E21">_xlfn.IFS(B21=0,"Unpaid",A21=B21,"Fully Paid",A21&gt;B21,"Partially Paid")</f>
        <v>Partially Paid</v>
      </c>
    </row>
    <row r="22" spans="1:5" x14ac:dyDescent="0.25">
      <c r="A22" s="23">
        <f>_xlfn.XLOOKUP(A9,'Raw Data'!A6:A15,'Raw Data'!N6:N15)</f>
        <v>4444</v>
      </c>
      <c r="B22" s="23">
        <f>_xlfn.XLOOKUP(B9,'Raw Data'!B6:B15,'Raw Data'!O6:O15)</f>
        <v>4444</v>
      </c>
      <c r="C22" s="23">
        <f>_xlfn.XLOOKUP(A9,'Raw Data'!A6:A15,'Raw Data'!Q6:Q15)</f>
        <v>0</v>
      </c>
      <c r="D22" s="23" t="str">
        <f>_xlfn.XLOOKUP(B9,'Raw Data'!B6:B15,'Raw Data'!P6:P15)</f>
        <v>23-3-2026</v>
      </c>
      <c r="E22" s="20" t="str" cm="1">
        <f t="array" ref="E22">_xlfn.IFS(B22=0,"Unpaid",A22=B22,"Fully Paid",A22&gt;B22,"Partially Paid")</f>
        <v>Fully Paid</v>
      </c>
    </row>
    <row r="23" spans="1:5" x14ac:dyDescent="0.25">
      <c r="A23" s="23">
        <f>_xlfn.XLOOKUP(A10,'Raw Data'!A7:A16,'Raw Data'!N7:N16)</f>
        <v>6833.3333333333339</v>
      </c>
      <c r="B23" s="23">
        <f>_xlfn.XLOOKUP(B10,'Raw Data'!B7:B16,'Raw Data'!O7:O16)</f>
        <v>6833</v>
      </c>
      <c r="C23" s="23">
        <f>_xlfn.XLOOKUP(A10,'Raw Data'!A7:A16,'Raw Data'!Q7:Q16)</f>
        <v>0.33333333333393966</v>
      </c>
      <c r="D23" s="23" t="str">
        <f>_xlfn.XLOOKUP(B10,'Raw Data'!B7:B16,'Raw Data'!P7:P16)</f>
        <v>23-3-2026</v>
      </c>
      <c r="E23" s="20" t="str" cm="1">
        <f t="array" ref="E23">_xlfn.IFS(B23=0,"Unpaid",A23=B23,"Fully Paid",A23&gt;B23,"Partially Paid")</f>
        <v>Partially Paid</v>
      </c>
    </row>
    <row r="24" spans="1:5" x14ac:dyDescent="0.25">
      <c r="A24" s="23">
        <f>_xlfn.XLOOKUP(A11,'Raw Data'!A8:A17,'Raw Data'!N8:N17)</f>
        <v>13001</v>
      </c>
      <c r="B24" s="23">
        <f>_xlfn.XLOOKUP(B11,'Raw Data'!B8:B17,'Raw Data'!O8:O17)</f>
        <v>13001</v>
      </c>
      <c r="C24" s="23">
        <f>_xlfn.XLOOKUP(A11,'Raw Data'!A8:A17,'Raw Data'!Q8:Q17)</f>
        <v>0</v>
      </c>
      <c r="D24" s="23" t="str">
        <f>_xlfn.XLOOKUP(B11,'Raw Data'!B8:B17,'Raw Data'!P8:P17)</f>
        <v>23-3-2026</v>
      </c>
      <c r="E24" s="20" t="str" cm="1">
        <f t="array" ref="E24">_xlfn.IFS(B24=0,"Unpaid",A24=B24,"Fully Paid",A24&gt;B24,"Partially Paid")</f>
        <v>Fully Paid</v>
      </c>
    </row>
    <row r="25" spans="1:5" x14ac:dyDescent="0.25">
      <c r="A25" s="23">
        <f>_xlfn.XLOOKUP(A12,'Raw Data'!A9:A18,'Raw Data'!N9:N18)</f>
        <v>13301.8</v>
      </c>
      <c r="B25" s="23">
        <f>_xlfn.XLOOKUP(B12,'Raw Data'!B9:B18,'Raw Data'!O9:O18)</f>
        <v>6000</v>
      </c>
      <c r="C25" s="23">
        <f>_xlfn.XLOOKUP(A12,'Raw Data'!A9:A18,'Raw Data'!Q9:Q18)</f>
        <v>7301.7999999999993</v>
      </c>
      <c r="D25" s="23" t="str">
        <f>_xlfn.XLOOKUP(B12,'Raw Data'!B9:B18,'Raw Data'!P9:P18)</f>
        <v>23-3-2026</v>
      </c>
      <c r="E25" s="20" t="str" cm="1">
        <f t="array" ref="E25">_xlfn.IFS(B25=0,"Unpaid",A25=B25,"Fully Paid",A25&gt;B25,"Partially Paid")</f>
        <v>Partially Paid</v>
      </c>
    </row>
    <row r="26" spans="1:5" x14ac:dyDescent="0.25">
      <c r="A26" s="23">
        <f>_xlfn.XLOOKUP(A13,'Raw Data'!A10:A19,'Raw Data'!N10:N19)</f>
        <v>6536.1333333333332</v>
      </c>
      <c r="B26" s="23">
        <f>_xlfn.XLOOKUP(B13,'Raw Data'!B10:B19,'Raw Data'!O10:O19)</f>
        <v>0</v>
      </c>
      <c r="C26" s="23">
        <f>_xlfn.XLOOKUP(A13,'Raw Data'!A10:A19,'Raw Data'!Q10:Q19)</f>
        <v>6536.1333333333332</v>
      </c>
      <c r="D26" s="23" t="str">
        <f>_xlfn.XLOOKUP(B13,'Raw Data'!B10:B19,'Raw Data'!P10:P19)</f>
        <v>23-3-2026</v>
      </c>
      <c r="E26" s="20" t="str" cm="1">
        <f t="array" ref="E26">_xlfn.IFS(B26=0,"Unpaid",A26=B26,"Fully Paid",A26&gt;B26,"Partially Paid")</f>
        <v>Unpaid</v>
      </c>
    </row>
    <row r="27" spans="1:5" x14ac:dyDescent="0.25">
      <c r="A27" s="23">
        <f>_xlfn.XLOOKUP(A14,'Raw Data'!A11:A20,'Raw Data'!N11:N20)</f>
        <v>6770.5333333333338</v>
      </c>
      <c r="B27" s="23">
        <f>_xlfn.XLOOKUP(B14,'Raw Data'!B11:B20,'Raw Data'!O11:O20)</f>
        <v>5000</v>
      </c>
      <c r="C27" s="23">
        <f>_xlfn.XLOOKUP(A14,'Raw Data'!A11:A20,'Raw Data'!Q11:Q20)</f>
        <v>1770.5333333333338</v>
      </c>
      <c r="D27" s="23" t="str">
        <f>_xlfn.XLOOKUP(B14,'Raw Data'!B11:B20,'Raw Data'!P11:P20)</f>
        <v>23-3-2026</v>
      </c>
      <c r="E27" s="20" t="str" cm="1">
        <f t="array" ref="E27">_xlfn.IFS(B27=0,"Unpaid",A27=B27,"Fully Paid",A27&gt;B27,"Partially Paid")</f>
        <v>Partially Paid</v>
      </c>
    </row>
  </sheetData>
  <mergeCells count="19">
    <mergeCell ref="L3:O3"/>
    <mergeCell ref="A16:E16"/>
    <mergeCell ref="A2:O2"/>
    <mergeCell ref="B13:C13"/>
    <mergeCell ref="B14:C1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:C1"/>
    <mergeCell ref="D1:F1"/>
    <mergeCell ref="G1:I1"/>
    <mergeCell ref="G3:J3"/>
    <mergeCell ref="A3:E3"/>
  </mergeCells>
  <conditionalFormatting sqref="E18:E27">
    <cfRule type="containsText" dxfId="1" priority="1" operator="containsText" text="fully">
      <formula>NOT(ISERROR(SEARCH("fully",E18)))</formula>
    </cfRule>
    <cfRule type="containsText" dxfId="0" priority="2" operator="containsText" text="partially paid">
      <formula>NOT(ISERROR(SEARCH("partially paid",E18)))</formula>
    </cfRule>
  </conditionalFormatting>
  <pageMargins left="0.7" right="0.7" top="0.75" bottom="0.75" header="0.3" footer="0.3"/>
  <ignoredErrors>
    <ignoredError sqref="E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28E7-F299-4F81-A7E2-9B88352C70A3}">
  <dimension ref="A1:J22"/>
  <sheetViews>
    <sheetView tabSelected="1" workbookViewId="0">
      <selection activeCell="G12" sqref="G12"/>
    </sheetView>
  </sheetViews>
  <sheetFormatPr defaultRowHeight="15" x14ac:dyDescent="0.25"/>
  <cols>
    <col min="1" max="1" width="25" bestFit="1" customWidth="1"/>
    <col min="2" max="2" width="9" bestFit="1" customWidth="1"/>
    <col min="4" max="4" width="12" bestFit="1" customWidth="1"/>
    <col min="5" max="5" width="18" bestFit="1" customWidth="1"/>
    <col min="6" max="6" width="11.28515625" bestFit="1" customWidth="1"/>
  </cols>
  <sheetData>
    <row r="1" spans="1:10" ht="15" customHeight="1" thickBot="1" x14ac:dyDescent="0.3">
      <c r="A1" s="54" t="s">
        <v>65</v>
      </c>
      <c r="B1" s="54"/>
      <c r="C1" s="54"/>
      <c r="D1" s="54"/>
      <c r="E1" s="55" t="s">
        <v>66</v>
      </c>
      <c r="F1" s="55"/>
      <c r="G1" s="55"/>
      <c r="H1" s="55"/>
    </row>
    <row r="2" spans="1:10" ht="15" customHeight="1" thickBot="1" x14ac:dyDescent="0.3">
      <c r="A2" s="54"/>
      <c r="B2" s="54"/>
      <c r="C2" s="54"/>
      <c r="D2" s="54"/>
      <c r="E2" s="55"/>
      <c r="F2" s="55"/>
      <c r="G2" s="55"/>
      <c r="H2" s="55"/>
    </row>
    <row r="4" spans="1:10" ht="18.75" x14ac:dyDescent="0.25">
      <c r="A4" s="5" t="s">
        <v>67</v>
      </c>
      <c r="B4" s="5"/>
      <c r="D4" s="15" t="s">
        <v>73</v>
      </c>
      <c r="E4" s="15"/>
      <c r="F4" s="15"/>
      <c r="G4" s="15"/>
    </row>
    <row r="5" spans="1:10" ht="15.75" x14ac:dyDescent="0.25">
      <c r="A5" s="57" t="s">
        <v>68</v>
      </c>
      <c r="B5" s="58">
        <f>SUM('Company Sheet'!A18:A27)</f>
        <v>112508.3</v>
      </c>
      <c r="D5" s="61" t="s">
        <v>75</v>
      </c>
      <c r="E5" s="61"/>
      <c r="F5" s="62">
        <f>COUNTIF('Company Sheet'!E18:E27,"Fully Paid")</f>
        <v>3</v>
      </c>
      <c r="G5" s="63">
        <f>F5/10</f>
        <v>0.3</v>
      </c>
    </row>
    <row r="6" spans="1:10" ht="15.75" x14ac:dyDescent="0.25">
      <c r="A6" s="57" t="s">
        <v>70</v>
      </c>
      <c r="B6" s="59">
        <f>SUM('Company Sheet'!B18:B27)</f>
        <v>70078</v>
      </c>
      <c r="D6" s="61" t="s">
        <v>76</v>
      </c>
      <c r="E6" s="61"/>
      <c r="F6" s="62">
        <f>COUNTIF('Company Sheet'!E19:E28,"Partially Paid")</f>
        <v>5</v>
      </c>
      <c r="G6" s="63">
        <f>F6/10</f>
        <v>0.5</v>
      </c>
    </row>
    <row r="7" spans="1:10" ht="15.75" x14ac:dyDescent="0.25">
      <c r="A7" s="57" t="s">
        <v>69</v>
      </c>
      <c r="B7" s="59">
        <f>SUM('Company Sheet'!C18:C27)</f>
        <v>42430.299999999996</v>
      </c>
      <c r="D7" s="61" t="s">
        <v>77</v>
      </c>
      <c r="E7" s="61"/>
      <c r="F7" s="62">
        <f>COUNTIF('Company Sheet'!E18:E29,"Unpaid")</f>
        <v>2</v>
      </c>
      <c r="G7" s="63">
        <f t="shared" ref="G7" si="0">F7/10</f>
        <v>0.2</v>
      </c>
    </row>
    <row r="9" spans="1:10" ht="15" customHeight="1" x14ac:dyDescent="0.3">
      <c r="A9" s="60" t="s">
        <v>74</v>
      </c>
      <c r="B9" s="60"/>
      <c r="D9" s="15" t="s">
        <v>78</v>
      </c>
      <c r="E9" s="15"/>
      <c r="F9" s="15"/>
      <c r="H9" s="67" t="s">
        <v>83</v>
      </c>
      <c r="I9" s="67"/>
      <c r="J9" s="67"/>
    </row>
    <row r="10" spans="1:10" ht="15.75" x14ac:dyDescent="0.25">
      <c r="A10" s="57" t="s">
        <v>71</v>
      </c>
      <c r="B10" s="64">
        <f>B6/B5</f>
        <v>0.62286960162050264</v>
      </c>
      <c r="D10" s="17" t="s">
        <v>79</v>
      </c>
      <c r="E10" s="17" t="s">
        <v>80</v>
      </c>
      <c r="F10" s="17" t="s">
        <v>81</v>
      </c>
      <c r="H10" s="68" t="str" cm="1">
        <f t="array" ref="H10:J11">_xlfn._xlws.FILTER(D11:F20,_xlfn.ANCHORARRAY(F11)=100%)</f>
        <v>Rida</v>
      </c>
      <c r="I10" s="68">
        <v>19100</v>
      </c>
      <c r="J10" s="68">
        <v>1</v>
      </c>
    </row>
    <row r="11" spans="1:10" ht="15.75" x14ac:dyDescent="0.25">
      <c r="A11" s="57" t="s">
        <v>72</v>
      </c>
      <c r="B11" s="64">
        <f>B7/B5</f>
        <v>0.3771303983794973</v>
      </c>
      <c r="D11" s="62" t="str">
        <f>_xlfn.XLOOKUP('Raw Data'!Q2,'Raw Data'!Q2:Q11,'Raw Data'!B2:B11)</f>
        <v>Rida</v>
      </c>
      <c r="E11" s="66">
        <f>_xlfn.XLOOKUP(D11,'Raw Data'!B2:B11,'Raw Data'!Q2:Q11)</f>
        <v>19100</v>
      </c>
      <c r="F11" s="63" cm="1">
        <f t="array" ref="F11:F20">E11:E20/'Raw Data'!N2:N11</f>
        <v>1</v>
      </c>
      <c r="H11" s="68" t="str">
        <v>somira</v>
      </c>
      <c r="I11" s="68">
        <v>6536.1333333333332</v>
      </c>
      <c r="J11" s="68">
        <v>1</v>
      </c>
    </row>
    <row r="12" spans="1:10" ht="15.75" x14ac:dyDescent="0.25">
      <c r="D12" s="62" t="str">
        <f>_xlfn.XLOOKUP('Raw Data'!Q3,'Raw Data'!Q3:Q12,'Raw Data'!B3:B12)</f>
        <v>Nisan</v>
      </c>
      <c r="E12" s="66">
        <f>_xlfn.XLOOKUP(D12,'Raw Data'!B3:B12,'Raw Data'!Q3:Q12)</f>
        <v>0</v>
      </c>
      <c r="F12" s="63">
        <v>0</v>
      </c>
    </row>
    <row r="13" spans="1:10" ht="15.75" x14ac:dyDescent="0.25">
      <c r="D13" s="62" t="str">
        <f>_xlfn.XLOOKUP('Raw Data'!Q4,'Raw Data'!Q4:Q13,'Raw Data'!B4:B13)</f>
        <v>Saqib</v>
      </c>
      <c r="E13" s="66">
        <f>_xlfn.XLOOKUP(D13,'Raw Data'!B4:B13,'Raw Data'!Q4:Q13)</f>
        <v>7700</v>
      </c>
      <c r="F13" s="63">
        <v>0.27797833935018051</v>
      </c>
    </row>
    <row r="14" spans="1:10" ht="15.75" x14ac:dyDescent="0.25">
      <c r="D14" s="62" t="str">
        <f>_xlfn.XLOOKUP('Raw Data'!Q5,'Raw Data'!Q5:Q14,'Raw Data'!B5:B14)</f>
        <v>Kashif</v>
      </c>
      <c r="E14" s="66">
        <f>_xlfn.XLOOKUP(D14,'Raw Data'!B5:B14,'Raw Data'!Q5:Q14)</f>
        <v>21.5</v>
      </c>
      <c r="F14" s="63">
        <v>1.1803458687894593E-2</v>
      </c>
    </row>
    <row r="15" spans="1:10" ht="15.75" x14ac:dyDescent="0.25">
      <c r="D15" s="62" t="str">
        <f>_xlfn.XLOOKUP('Raw Data'!Q6,'Raw Data'!Q6:Q15,'Raw Data'!B6:B15)</f>
        <v>Asif</v>
      </c>
      <c r="E15" s="66">
        <f>_xlfn.XLOOKUP(D15,'Raw Data'!B6:B15,'Raw Data'!Q6:Q15)</f>
        <v>0</v>
      </c>
      <c r="F15" s="63">
        <v>0</v>
      </c>
    </row>
    <row r="16" spans="1:10" ht="15.75" x14ac:dyDescent="0.25">
      <c r="D16" s="62" t="str">
        <f>_xlfn.XLOOKUP('Raw Data'!Q7,'Raw Data'!Q7:Q16,'Raw Data'!B7:B16)</f>
        <v>Rifaq</v>
      </c>
      <c r="E16" s="66">
        <f>_xlfn.XLOOKUP(D16,'Raw Data'!B7:B16,'Raw Data'!Q7:Q16)</f>
        <v>0.33333333333393966</v>
      </c>
      <c r="F16" s="63">
        <v>4.8780487804966773E-5</v>
      </c>
    </row>
    <row r="17" spans="4:6" ht="15.75" x14ac:dyDescent="0.25">
      <c r="D17" s="62" t="str">
        <f>_xlfn.XLOOKUP('Raw Data'!Q8,'Raw Data'!Q8:Q17,'Raw Data'!B8:B17)</f>
        <v>Faisal</v>
      </c>
      <c r="E17" s="66">
        <f>_xlfn.XLOOKUP(D17,'Raw Data'!B8:B17,'Raw Data'!Q8:Q17)</f>
        <v>0</v>
      </c>
      <c r="F17" s="63">
        <v>0</v>
      </c>
    </row>
    <row r="18" spans="4:6" ht="15.75" x14ac:dyDescent="0.25">
      <c r="D18" s="62" t="str">
        <f>_xlfn.XLOOKUP('Raw Data'!Q9,'Raw Data'!Q9:Q18,'Raw Data'!B9:B18)</f>
        <v>kamran</v>
      </c>
      <c r="E18" s="66">
        <f>_xlfn.XLOOKUP(D18,'Raw Data'!B9:B18,'Raw Data'!Q9:Q18)</f>
        <v>7301.7999999999993</v>
      </c>
      <c r="F18" s="63">
        <v>0.54893322708204906</v>
      </c>
    </row>
    <row r="19" spans="4:6" ht="15.75" x14ac:dyDescent="0.25">
      <c r="D19" s="62" t="str">
        <f>_xlfn.XLOOKUP('Raw Data'!Q10,'Raw Data'!Q10:Q19,'Raw Data'!B10:B19)</f>
        <v>somira</v>
      </c>
      <c r="E19" s="66">
        <f>_xlfn.XLOOKUP(D19,'Raw Data'!B10:B19,'Raw Data'!Q10:Q19)</f>
        <v>6536.1333333333332</v>
      </c>
      <c r="F19" s="63">
        <v>1</v>
      </c>
    </row>
    <row r="20" spans="4:6" ht="15.75" x14ac:dyDescent="0.25">
      <c r="D20" s="62" t="str">
        <f>_xlfn.XLOOKUP('Raw Data'!Q11,'Raw Data'!Q11:Q20,'Raw Data'!B11:B20)</f>
        <v>Amana</v>
      </c>
      <c r="E20" s="66">
        <f>_xlfn.XLOOKUP(D20,'Raw Data'!B11:B20,'Raw Data'!Q11:Q20)</f>
        <v>1770.5333333333338</v>
      </c>
      <c r="F20" s="63">
        <v>0.2615057405620434</v>
      </c>
    </row>
    <row r="21" spans="4:6" x14ac:dyDescent="0.25">
      <c r="F21" s="56"/>
    </row>
    <row r="22" spans="4:6" x14ac:dyDescent="0.25">
      <c r="F22" s="56"/>
    </row>
  </sheetData>
  <mergeCells count="10">
    <mergeCell ref="D9:F9"/>
    <mergeCell ref="H9:J9"/>
    <mergeCell ref="D7:E7"/>
    <mergeCell ref="A1:D2"/>
    <mergeCell ref="E1:H2"/>
    <mergeCell ref="A4:B4"/>
    <mergeCell ref="A9:B9"/>
    <mergeCell ref="D4:G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Company Sheet</vt:lpstr>
      <vt:lpstr>Key Metics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 Rahman Dawar</dc:creator>
  <cp:lastModifiedBy>Abdur  Rahman Dawar</cp:lastModifiedBy>
  <dcterms:created xsi:type="dcterms:W3CDTF">2026-03-27T01:23:21Z</dcterms:created>
  <dcterms:modified xsi:type="dcterms:W3CDTF">2026-06-23T05:31:51Z</dcterms:modified>
</cp:coreProperties>
</file>